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https://capgemini.sharepoint.com/sites/LOGISTICA-GOVERNANCE2/Shared Documents/General/GARA 2025/ECONOMICS/"/>
    </mc:Choice>
  </mc:AlternateContent>
  <xr:revisionPtr revIDLastSave="2388" documentId="120_S{21E402F5-DF35-51A3-813A-4C0BF5E52C17}" xr6:coauthVersionLast="47" xr6:coauthVersionMax="47" xr10:uidLastSave="{A1A0A289-87B4-FA48-8186-1E6AC64CF0E8}"/>
  <bookViews>
    <workbookView xWindow="2240" yWindow="1520" windowWidth="29180" windowHeight="15300" tabRatio="878" firstSheet="4" activeTab="5" xr2:uid="{988FAE0A-E1DB-43D7-AB9E-84BC9F2E588D}"/>
  </bookViews>
  <sheets>
    <sheet name="COMMESSE E FCST" sheetId="16" r:id="rId1"/>
    <sheet name="TEAM LAVORO" sheetId="9" r:id="rId2"/>
    <sheet name="SUBCO" sheetId="6" r:id="rId3"/>
    <sheet name="CONTRATTO" sheetId="14" r:id="rId4"/>
    <sheet name="Catalogo" sheetId="20" r:id="rId5"/>
    <sheet name="MEV" sheetId="1" r:id="rId6"/>
    <sheet name="ORDINI" sheetId="11" r:id="rId7"/>
    <sheet name="CHECK CON POSTE" sheetId="2" r:id="rId8"/>
    <sheet name="SLA" sheetId="17" r:id="rId9"/>
    <sheet name="TABELLE" sheetId="7" r:id="rId10"/>
    <sheet name="Release di Business" sheetId="13" r:id="rId11"/>
    <sheet name="Sheet1" sheetId="18" r:id="rId12"/>
    <sheet name="Sheet2" sheetId="21" r:id="rId13"/>
  </sheets>
  <definedNames>
    <definedName name="_2026">TABELLE!$F$3:$F$10</definedName>
    <definedName name="_2027">TABELLE!$G$3:$G$14</definedName>
    <definedName name="_2028">TABELLE!$H$3:$H$14</definedName>
    <definedName name="_2029">TABELLE!$I$3:$I$14</definedName>
    <definedName name="_copiacontratti">#REF!</definedName>
    <definedName name="_FilterDatabase" localSheetId="1" hidden="1">'TEAM LAVORO'!$B$2:$AY$30</definedName>
    <definedName name="_xlnm._FilterDatabase" localSheetId="12" hidden="1">Sheet2!$B$2:$F$22</definedName>
    <definedName name="_xlnm._FilterDatabase" localSheetId="9" hidden="1">TABELLE!$B$30:$C$74</definedName>
    <definedName name="_xlnm._FilterDatabase" localSheetId="1" hidden="1">'TEAM LAVORO'!$B$2:$AY$30</definedName>
    <definedName name="_nuovoperconteggicontratti">#REF!</definedName>
    <definedName name="ANNO_COMPETENZA">TABELLE!$E$3:$E$7</definedName>
    <definedName name="Anno_release">TABELLE!$B$30:$C$74</definedName>
    <definedName name="ceci">#REF!</definedName>
    <definedName name="Contratti_conteggi_nuovo">#REF!</definedName>
    <definedName name="CROSS2021">#REF!</definedName>
    <definedName name="CROSS2022">#REF!</definedName>
    <definedName name="DvD_fine_NEG">#REF!</definedName>
    <definedName name="DvD_inizio_NEG">#REF!</definedName>
    <definedName name="LastRow_BV">#REF!</definedName>
    <definedName name="LastRow_PV">#REF!</definedName>
    <definedName name="LastRow_RP">#REF!</definedName>
    <definedName name="LastRow_RV">#REF!</definedName>
    <definedName name="MarkDifferenza">#REF!</definedName>
    <definedName name="MarkErogatoAllaData">#REF!</definedName>
    <definedName name="MarkInizialeOfferta">#REF!</definedName>
    <definedName name="MarkOrdine">#REF!</definedName>
    <definedName name="MarkPrevisione">#REF!</definedName>
    <definedName name="MENU_CLIENTE">#REF!</definedName>
    <definedName name="MENU_CONC_COM" hidden="1">#REF!</definedName>
    <definedName name="MENU_OWNER_FCST">#REF!</definedName>
    <definedName name="MENU_PROGETTO">#REF!</definedName>
    <definedName name="MENU_SPLIT_DSE">#REF!</definedName>
    <definedName name="MENU_STREAM">#REF!</definedName>
    <definedName name="NEW">#REF!</definedName>
    <definedName name="newone">#REF!</definedName>
    <definedName name="Risk_level">#REF!</definedName>
    <definedName name="Services">#REF!</definedName>
    <definedName name="SubCoEcomonics" localSheetId="6">#REF!</definedName>
    <definedName name="SubCoEcomonics" localSheetId="10">#REF!</definedName>
    <definedName name="SubCoEcomonics">#REF!</definedName>
    <definedName name="Tipi">#REF!</definedName>
    <definedName name="TotalePrevisioneCosti">#REF!</definedName>
    <definedName name="TotaleRicaviOrdine">#REF!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1" l="1"/>
  <c r="D56" i="1"/>
  <c r="U56" i="1" s="1"/>
  <c r="O57" i="1"/>
  <c r="D57" i="1"/>
  <c r="D53" i="1"/>
  <c r="U53" i="1" s="1"/>
  <c r="O53" i="1"/>
  <c r="AD53" i="1"/>
  <c r="AH53" i="1"/>
  <c r="D54" i="1"/>
  <c r="U54" i="1" s="1"/>
  <c r="O54" i="1"/>
  <c r="AD54" i="1"/>
  <c r="AH54" i="1"/>
  <c r="D55" i="1"/>
  <c r="U55" i="1" s="1"/>
  <c r="O55" i="1"/>
  <c r="AD55" i="1"/>
  <c r="AH55" i="1"/>
  <c r="AD56" i="1"/>
  <c r="AH56" i="1"/>
  <c r="V53" i="1" l="1"/>
  <c r="W53" i="1"/>
  <c r="AE54" i="1"/>
  <c r="AF53" i="1"/>
  <c r="AE53" i="1"/>
  <c r="AG53" i="1" s="1"/>
  <c r="AF55" i="1"/>
  <c r="AE55" i="1"/>
  <c r="V54" i="1"/>
  <c r="W54" i="1"/>
  <c r="AF54" i="1"/>
  <c r="V55" i="1"/>
  <c r="W55" i="1"/>
  <c r="V56" i="1"/>
  <c r="W56" i="1"/>
  <c r="AE56" i="1"/>
  <c r="AF56" i="1"/>
  <c r="N23" i="2"/>
  <c r="P37" i="2"/>
  <c r="O37" i="2"/>
  <c r="N37" i="2"/>
  <c r="P38" i="2"/>
  <c r="O38" i="2"/>
  <c r="N38" i="2"/>
  <c r="M37" i="2"/>
  <c r="G37" i="2"/>
  <c r="F37" i="2"/>
  <c r="E37" i="2"/>
  <c r="D37" i="2"/>
  <c r="C37" i="2"/>
  <c r="G38" i="2"/>
  <c r="F38" i="2"/>
  <c r="E38" i="2"/>
  <c r="D38" i="2"/>
  <c r="C38" i="2"/>
  <c r="AG54" i="1" l="1"/>
  <c r="AG55" i="1"/>
  <c r="AG56" i="1"/>
  <c r="H37" i="2"/>
  <c r="Q37" i="2"/>
  <c r="H38" i="2"/>
  <c r="C36" i="2" l="1"/>
  <c r="E34" i="2"/>
  <c r="G23" i="2"/>
  <c r="E23" i="2"/>
  <c r="D23" i="2"/>
  <c r="C23" i="2"/>
  <c r="F23" i="2"/>
  <c r="E20" i="2"/>
  <c r="M61" i="18" l="1"/>
  <c r="L61" i="18"/>
  <c r="O52" i="1" l="1"/>
  <c r="O59" i="18" l="1"/>
  <c r="O57" i="18"/>
  <c r="O52" i="18"/>
  <c r="O48" i="18"/>
  <c r="O45" i="18"/>
  <c r="O43" i="18"/>
  <c r="O40" i="18"/>
  <c r="AH57" i="1"/>
  <c r="AD57" i="1"/>
  <c r="AE57" i="1"/>
  <c r="AC58" i="1"/>
  <c r="AB58" i="1"/>
  <c r="AA58" i="1"/>
  <c r="Z58" i="1"/>
  <c r="Y58" i="1"/>
  <c r="X58" i="1"/>
  <c r="U57" i="1" l="1"/>
  <c r="AF57" i="1"/>
  <c r="AG57" i="1" s="1"/>
  <c r="W57" i="1" l="1"/>
  <c r="V57" i="1"/>
  <c r="F53" i="16" l="1"/>
  <c r="F40" i="16"/>
  <c r="F41" i="16" s="1"/>
  <c r="F37" i="16"/>
  <c r="F43" i="16" l="1"/>
  <c r="F22" i="21" l="1"/>
  <c r="D51" i="1" l="1"/>
  <c r="AE51" i="1" s="1"/>
  <c r="O51" i="1"/>
  <c r="AD51" i="1"/>
  <c r="AH51" i="1"/>
  <c r="U51" i="1" l="1"/>
  <c r="V51" i="1" s="1"/>
  <c r="AF51" i="1"/>
  <c r="AG51" i="1" s="1"/>
  <c r="BR27" i="9"/>
  <c r="BR12" i="9"/>
  <c r="BH4" i="9"/>
  <c r="BH5" i="9"/>
  <c r="BH6" i="9"/>
  <c r="BH7" i="9"/>
  <c r="BH8" i="9"/>
  <c r="BH9" i="9"/>
  <c r="BH10" i="9"/>
  <c r="BH11" i="9"/>
  <c r="BH12" i="9"/>
  <c r="BH13" i="9"/>
  <c r="BH14" i="9"/>
  <c r="BH15" i="9"/>
  <c r="BH16" i="9"/>
  <c r="BH17" i="9"/>
  <c r="BH18" i="9"/>
  <c r="BH19" i="9"/>
  <c r="BH20" i="9"/>
  <c r="BH21" i="9"/>
  <c r="BH22" i="9"/>
  <c r="BH23" i="9"/>
  <c r="BH24" i="9"/>
  <c r="BH25" i="9"/>
  <c r="BH26" i="9"/>
  <c r="BH27" i="9"/>
  <c r="BH28" i="9"/>
  <c r="BH3" i="9"/>
  <c r="C13" i="18"/>
  <c r="W51" i="1" l="1"/>
  <c r="D28" i="1"/>
  <c r="U28" i="1" s="1"/>
  <c r="O28" i="1"/>
  <c r="AD28" i="1"/>
  <c r="AH28" i="1"/>
  <c r="V28" i="1" l="1"/>
  <c r="W28" i="1"/>
  <c r="AF28" i="1"/>
  <c r="AE28" i="1"/>
  <c r="C10" i="2"/>
  <c r="AG28" i="1" l="1"/>
  <c r="K72" i="14" l="1"/>
  <c r="K73" i="14"/>
  <c r="K74" i="14"/>
  <c r="K75" i="14"/>
  <c r="K76" i="14"/>
  <c r="K71" i="14"/>
  <c r="D50" i="1" l="1"/>
  <c r="U50" i="1" s="1"/>
  <c r="O50" i="1"/>
  <c r="AD50" i="1"/>
  <c r="AH50" i="1"/>
  <c r="W50" i="1" l="1"/>
  <c r="V50" i="1"/>
  <c r="AF50" i="1"/>
  <c r="AE50" i="1"/>
  <c r="AG50" i="1" l="1"/>
  <c r="D23" i="1"/>
  <c r="U23" i="1" s="1"/>
  <c r="O23" i="1"/>
  <c r="AD23" i="1"/>
  <c r="AH23" i="1"/>
  <c r="D22" i="1"/>
  <c r="AE22" i="1" s="1"/>
  <c r="O22" i="1"/>
  <c r="AD22" i="1"/>
  <c r="AH22" i="1"/>
  <c r="D17" i="1"/>
  <c r="U17" i="1" s="1"/>
  <c r="O17" i="1"/>
  <c r="AD17" i="1"/>
  <c r="AH17" i="1"/>
  <c r="AE23" i="1" l="1"/>
  <c r="AF23" i="1"/>
  <c r="V23" i="1"/>
  <c r="W23" i="1"/>
  <c r="U22" i="1"/>
  <c r="V22" i="1" s="1"/>
  <c r="AF22" i="1"/>
  <c r="AG22" i="1" s="1"/>
  <c r="V17" i="1"/>
  <c r="W17" i="1"/>
  <c r="AE17" i="1"/>
  <c r="AF17" i="1"/>
  <c r="AG23" i="1" l="1"/>
  <c r="W22" i="1"/>
  <c r="AG17" i="1"/>
  <c r="AD49" i="1" l="1"/>
  <c r="D49" i="1"/>
  <c r="U49" i="1" s="1"/>
  <c r="O49" i="1"/>
  <c r="AH49" i="1"/>
  <c r="AF49" i="1" l="1"/>
  <c r="AE49" i="1"/>
  <c r="V49" i="1"/>
  <c r="W49" i="1"/>
  <c r="AG49" i="1" l="1"/>
  <c r="G34" i="20"/>
  <c r="G35" i="20" s="1"/>
  <c r="E33" i="20" l="1"/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8" i="1"/>
  <c r="AH19" i="1"/>
  <c r="AH20" i="1"/>
  <c r="AH21" i="1"/>
  <c r="AH24" i="1"/>
  <c r="AH25" i="1"/>
  <c r="AH26" i="1"/>
  <c r="AH27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52" i="1"/>
  <c r="D21" i="1" l="1"/>
  <c r="U21" i="1" s="1"/>
  <c r="O21" i="1"/>
  <c r="AD21" i="1"/>
  <c r="AF21" i="1" l="1"/>
  <c r="AE21" i="1"/>
  <c r="W21" i="1"/>
  <c r="V21" i="1"/>
  <c r="AG21" i="1" l="1"/>
  <c r="AD48" i="1"/>
  <c r="D48" i="1"/>
  <c r="U48" i="1" s="1"/>
  <c r="O48" i="1"/>
  <c r="U52" i="1"/>
  <c r="W52" i="1" s="1"/>
  <c r="AD52" i="1"/>
  <c r="AF52" i="1" l="1"/>
  <c r="AE52" i="1"/>
  <c r="AE48" i="1"/>
  <c r="AF48" i="1"/>
  <c r="V48" i="1"/>
  <c r="W48" i="1"/>
  <c r="V52" i="1"/>
  <c r="D45" i="1"/>
  <c r="AF45" i="1" s="1"/>
  <c r="O45" i="1"/>
  <c r="AD45" i="1"/>
  <c r="D44" i="1"/>
  <c r="U44" i="1" s="1"/>
  <c r="O44" i="1"/>
  <c r="AD44" i="1"/>
  <c r="D46" i="1"/>
  <c r="AF46" i="1" s="1"/>
  <c r="O46" i="1"/>
  <c r="AD46" i="1"/>
  <c r="AG52" i="1" l="1"/>
  <c r="AG48" i="1"/>
  <c r="U45" i="1"/>
  <c r="V45" i="1" s="1"/>
  <c r="AE45" i="1"/>
  <c r="AG45" i="1" s="1"/>
  <c r="AF44" i="1"/>
  <c r="W44" i="1"/>
  <c r="V44" i="1"/>
  <c r="AE44" i="1"/>
  <c r="AE46" i="1"/>
  <c r="AG46" i="1" s="1"/>
  <c r="U46" i="1"/>
  <c r="AG44" i="1" l="1"/>
  <c r="W45" i="1"/>
  <c r="V46" i="1"/>
  <c r="W46" i="1"/>
  <c r="D42" i="1" l="1"/>
  <c r="U42" i="1" s="1"/>
  <c r="O42" i="1"/>
  <c r="AD42" i="1"/>
  <c r="D43" i="1"/>
  <c r="U43" i="1" s="1"/>
  <c r="O43" i="1"/>
  <c r="AD43" i="1"/>
  <c r="D47" i="1"/>
  <c r="U47" i="1" s="1"/>
  <c r="O47" i="1"/>
  <c r="AD47" i="1"/>
  <c r="AF42" i="1" l="1"/>
  <c r="AE42" i="1"/>
  <c r="V42" i="1"/>
  <c r="W42" i="1"/>
  <c r="AF43" i="1"/>
  <c r="AE47" i="1"/>
  <c r="V43" i="1"/>
  <c r="W43" i="1"/>
  <c r="AE43" i="1"/>
  <c r="V47" i="1"/>
  <c r="W47" i="1"/>
  <c r="AF47" i="1"/>
  <c r="AG47" i="1" l="1"/>
  <c r="AG43" i="1"/>
  <c r="AG42" i="1"/>
  <c r="J30" i="20" l="1"/>
  <c r="AG97" i="14"/>
  <c r="D37" i="1" l="1"/>
  <c r="U37" i="1" s="1"/>
  <c r="O37" i="1"/>
  <c r="AD37" i="1"/>
  <c r="D38" i="1"/>
  <c r="U38" i="1" s="1"/>
  <c r="O38" i="1"/>
  <c r="AD38" i="1"/>
  <c r="D39" i="1"/>
  <c r="U39" i="1" s="1"/>
  <c r="O39" i="1"/>
  <c r="AD39" i="1"/>
  <c r="D40" i="1"/>
  <c r="U40" i="1" s="1"/>
  <c r="O40" i="1"/>
  <c r="AD40" i="1"/>
  <c r="AF38" i="1" l="1"/>
  <c r="AE38" i="1"/>
  <c r="AE37" i="1"/>
  <c r="V37" i="1"/>
  <c r="W37" i="1"/>
  <c r="AF37" i="1"/>
  <c r="V38" i="1"/>
  <c r="W38" i="1"/>
  <c r="AF39" i="1"/>
  <c r="V39" i="1"/>
  <c r="W39" i="1"/>
  <c r="AE39" i="1"/>
  <c r="AF40" i="1"/>
  <c r="W40" i="1"/>
  <c r="V40" i="1"/>
  <c r="AE40" i="1"/>
  <c r="AG40" i="1" l="1"/>
  <c r="AG37" i="1"/>
  <c r="AG38" i="1"/>
  <c r="AG39" i="1"/>
  <c r="O12" i="1" l="1"/>
  <c r="AD36" i="1" l="1"/>
  <c r="D36" i="1"/>
  <c r="U36" i="1" s="1"/>
  <c r="O36" i="1"/>
  <c r="AE36" i="1" l="1"/>
  <c r="AF36" i="1"/>
  <c r="V36" i="1"/>
  <c r="W36" i="1"/>
  <c r="AG36" i="1" l="1"/>
  <c r="G25" i="16"/>
  <c r="G27" i="16"/>
  <c r="F69" i="16"/>
  <c r="F70" i="16" s="1"/>
  <c r="F72" i="16" s="1"/>
  <c r="AD12" i="1" l="1"/>
  <c r="D12" i="1"/>
  <c r="AF12" i="1" s="1"/>
  <c r="U12" i="1" l="1"/>
  <c r="AE12" i="1"/>
  <c r="AG12" i="1" s="1"/>
  <c r="W12" i="1" l="1"/>
  <c r="V12" i="1"/>
  <c r="D33" i="1" l="1"/>
  <c r="U33" i="1" s="1"/>
  <c r="O33" i="1"/>
  <c r="AD33" i="1"/>
  <c r="V33" i="1" l="1"/>
  <c r="W33" i="1"/>
  <c r="AF33" i="1"/>
  <c r="AE33" i="1"/>
  <c r="AG33" i="1" l="1"/>
  <c r="T21" i="11" l="1"/>
  <c r="O21" i="11"/>
  <c r="N21" i="11"/>
  <c r="H21" i="11"/>
  <c r="G21" i="11"/>
  <c r="F21" i="11"/>
  <c r="E21" i="11"/>
  <c r="D21" i="11"/>
  <c r="T22" i="11"/>
  <c r="O22" i="11"/>
  <c r="N22" i="11"/>
  <c r="H22" i="11"/>
  <c r="G22" i="11"/>
  <c r="F22" i="11"/>
  <c r="E22" i="11"/>
  <c r="D22" i="11"/>
  <c r="AD35" i="1"/>
  <c r="O35" i="1"/>
  <c r="D35" i="1"/>
  <c r="AF35" i="1" s="1"/>
  <c r="L35" i="2"/>
  <c r="L34" i="2"/>
  <c r="L33" i="2"/>
  <c r="L32" i="2"/>
  <c r="L31" i="2"/>
  <c r="L30" i="2"/>
  <c r="L29" i="2"/>
  <c r="L28" i="2"/>
  <c r="L27" i="2"/>
  <c r="L26" i="2"/>
  <c r="L25" i="2"/>
  <c r="L24" i="2"/>
  <c r="L22" i="2"/>
  <c r="L21" i="2"/>
  <c r="L20" i="2"/>
  <c r="C35" i="2"/>
  <c r="C34" i="2"/>
  <c r="C33" i="2"/>
  <c r="C32" i="2"/>
  <c r="C31" i="2"/>
  <c r="C30" i="2"/>
  <c r="C29" i="2"/>
  <c r="C28" i="2"/>
  <c r="C27" i="2"/>
  <c r="C26" i="2"/>
  <c r="C25" i="2"/>
  <c r="C24" i="2"/>
  <c r="C22" i="2"/>
  <c r="C21" i="2"/>
  <c r="C20" i="2"/>
  <c r="C39" i="2" l="1"/>
  <c r="U35" i="1"/>
  <c r="A4" i="1"/>
  <c r="A5" i="1" s="1"/>
  <c r="A6" i="1" s="1"/>
  <c r="A7" i="1" s="1"/>
  <c r="A8" i="1" s="1"/>
  <c r="A9" i="1" s="1"/>
  <c r="A10" i="1" s="1"/>
  <c r="A11" i="1" s="1"/>
  <c r="AD14" i="1"/>
  <c r="O14" i="1"/>
  <c r="D14" i="1"/>
  <c r="U14" i="1" s="1"/>
  <c r="AD26" i="1"/>
  <c r="O26" i="1"/>
  <c r="D26" i="1"/>
  <c r="U26" i="1" s="1"/>
  <c r="A12" i="1" l="1"/>
  <c r="A13" i="1" s="1"/>
  <c r="A14" i="1" s="1"/>
  <c r="A15" i="1" s="1"/>
  <c r="A16" i="1" s="1"/>
  <c r="AF26" i="1"/>
  <c r="AF14" i="1"/>
  <c r="W35" i="1"/>
  <c r="V35" i="1"/>
  <c r="AE14" i="1"/>
  <c r="N34" i="2" s="1"/>
  <c r="N39" i="2" s="1"/>
  <c r="AE26" i="1"/>
  <c r="A17" i="1" l="1"/>
  <c r="A18" i="1" s="1"/>
  <c r="A19" i="1" s="1"/>
  <c r="A20" i="1" s="1"/>
  <c r="A21" i="1" s="1"/>
  <c r="AG26" i="1"/>
  <c r="AG14" i="1"/>
  <c r="W14" i="1"/>
  <c r="V14" i="1"/>
  <c r="W26" i="1"/>
  <c r="V26" i="1"/>
  <c r="A22" i="1" l="1"/>
  <c r="A23" i="1" s="1"/>
  <c r="A24" i="1" s="1"/>
  <c r="A25" i="1" s="1"/>
  <c r="A26" i="1" s="1"/>
  <c r="A27" i="1" s="1"/>
  <c r="D30" i="1"/>
  <c r="U30" i="1" s="1"/>
  <c r="O30" i="1"/>
  <c r="AD30" i="1"/>
  <c r="D29" i="1"/>
  <c r="U29" i="1" s="1"/>
  <c r="O29" i="1"/>
  <c r="AD29" i="1"/>
  <c r="A28" i="1" l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F30" i="1"/>
  <c r="V30" i="1"/>
  <c r="W30" i="1"/>
  <c r="AE30" i="1"/>
  <c r="AF29" i="1"/>
  <c r="AE29" i="1"/>
  <c r="V29" i="1"/>
  <c r="W29" i="1"/>
  <c r="AG30" i="1" l="1"/>
  <c r="AG29" i="1"/>
  <c r="D15" i="1"/>
  <c r="U15" i="1" s="1"/>
  <c r="O15" i="1"/>
  <c r="AD15" i="1"/>
  <c r="D16" i="1"/>
  <c r="U16" i="1" s="1"/>
  <c r="O16" i="1"/>
  <c r="AD16" i="1"/>
  <c r="D18" i="1"/>
  <c r="U18" i="1" s="1"/>
  <c r="O18" i="1"/>
  <c r="AD18" i="1"/>
  <c r="AF15" i="1" l="1"/>
  <c r="AE15" i="1"/>
  <c r="V15" i="1"/>
  <c r="W15" i="1"/>
  <c r="AF16" i="1"/>
  <c r="AE16" i="1"/>
  <c r="V16" i="1"/>
  <c r="W16" i="1"/>
  <c r="V18" i="1"/>
  <c r="W18" i="1"/>
  <c r="AE18" i="1"/>
  <c r="AF18" i="1"/>
  <c r="AG15" i="1" l="1"/>
  <c r="AG16" i="1"/>
  <c r="AG18" i="1"/>
  <c r="D4" i="1" l="1"/>
  <c r="U4" i="1" s="1"/>
  <c r="O4" i="1"/>
  <c r="AD4" i="1"/>
  <c r="D9" i="1"/>
  <c r="U9" i="1" s="1"/>
  <c r="O9" i="1"/>
  <c r="AD9" i="1"/>
  <c r="D27" i="1"/>
  <c r="U27" i="1" s="1"/>
  <c r="O27" i="1"/>
  <c r="AD27" i="1"/>
  <c r="V9" i="1" l="1"/>
  <c r="AF4" i="1"/>
  <c r="AE4" i="1"/>
  <c r="AF9" i="1"/>
  <c r="AE9" i="1"/>
  <c r="V4" i="1"/>
  <c r="W4" i="1"/>
  <c r="AF27" i="1"/>
  <c r="AE27" i="1"/>
  <c r="V27" i="1"/>
  <c r="W27" i="1"/>
  <c r="W9" i="1"/>
  <c r="AG4" i="1" l="1"/>
  <c r="AG27" i="1"/>
  <c r="AG9" i="1"/>
  <c r="F81" i="14"/>
  <c r="D25" i="1" l="1"/>
  <c r="U25" i="1" s="1"/>
  <c r="O25" i="1"/>
  <c r="AD25" i="1"/>
  <c r="W25" i="1" l="1"/>
  <c r="AF25" i="1"/>
  <c r="AE25" i="1"/>
  <c r="V25" i="1" l="1"/>
  <c r="AG25" i="1"/>
  <c r="D7" i="1"/>
  <c r="U7" i="1" s="1"/>
  <c r="D13" i="1"/>
  <c r="U13" i="1" s="1"/>
  <c r="D8" i="1"/>
  <c r="U8" i="1" s="1"/>
  <c r="D24" i="1"/>
  <c r="U24" i="1" s="1"/>
  <c r="D11" i="1"/>
  <c r="U11" i="1" s="1"/>
  <c r="D5" i="1"/>
  <c r="U5" i="1" s="1"/>
  <c r="D6" i="1"/>
  <c r="U6" i="1" s="1"/>
  <c r="D31" i="1"/>
  <c r="U31" i="1" s="1"/>
  <c r="D19" i="1"/>
  <c r="U19" i="1" s="1"/>
  <c r="D3" i="1"/>
  <c r="U3" i="1" s="1"/>
  <c r="D32" i="1"/>
  <c r="U32" i="1" s="1"/>
  <c r="D10" i="1"/>
  <c r="U10" i="1" s="1"/>
  <c r="D34" i="1"/>
  <c r="U34" i="1" s="1"/>
  <c r="D20" i="1"/>
  <c r="U20" i="1" s="1"/>
  <c r="D41" i="1"/>
  <c r="U41" i="1" s="1"/>
  <c r="G71" i="14" l="1"/>
  <c r="G27" i="2"/>
  <c r="F27" i="2"/>
  <c r="D27" i="2"/>
  <c r="O7" i="1" l="1"/>
  <c r="O13" i="1"/>
  <c r="O8" i="1"/>
  <c r="O24" i="1"/>
  <c r="O11" i="1"/>
  <c r="O5" i="1"/>
  <c r="O6" i="1"/>
  <c r="O19" i="1"/>
  <c r="O3" i="1"/>
  <c r="O32" i="1"/>
  <c r="O10" i="1"/>
  <c r="O34" i="1"/>
  <c r="O20" i="1"/>
  <c r="O41" i="1"/>
  <c r="F76" i="14"/>
  <c r="F75" i="14"/>
  <c r="F74" i="14"/>
  <c r="F73" i="14"/>
  <c r="F72" i="14"/>
  <c r="F71" i="14"/>
  <c r="BU7" i="9" l="1"/>
  <c r="BR21" i="9"/>
  <c r="BR7" i="9"/>
  <c r="F19" i="16"/>
  <c r="M14" i="2"/>
  <c r="L14" i="2"/>
  <c r="G19" i="16" l="1"/>
  <c r="F50" i="16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3" i="11"/>
  <c r="H24" i="11"/>
  <c r="H25" i="11"/>
  <c r="H26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3" i="11"/>
  <c r="G24" i="11"/>
  <c r="G25" i="11"/>
  <c r="G26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3" i="11"/>
  <c r="F24" i="11"/>
  <c r="F25" i="11"/>
  <c r="F26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3" i="11"/>
  <c r="E24" i="11"/>
  <c r="E25" i="11"/>
  <c r="E26" i="11"/>
  <c r="D2" i="11"/>
  <c r="E2" i="11" s="1"/>
  <c r="N2" i="11" s="1"/>
  <c r="O2" i="11" s="1"/>
  <c r="AE35" i="1" s="1"/>
  <c r="M38" i="2" s="1"/>
  <c r="Q38" i="2" s="1"/>
  <c r="H11" i="2" s="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3" i="11"/>
  <c r="D24" i="11"/>
  <c r="D25" i="11"/>
  <c r="D26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3" i="11"/>
  <c r="N24" i="11"/>
  <c r="N25" i="11"/>
  <c r="N26" i="11"/>
  <c r="G73" i="14"/>
  <c r="G74" i="14"/>
  <c r="G75" i="14"/>
  <c r="H6" i="6"/>
  <c r="H5" i="6"/>
  <c r="H4" i="6"/>
  <c r="M35" i="2"/>
  <c r="M34" i="2"/>
  <c r="M32" i="2"/>
  <c r="M31" i="2"/>
  <c r="M30" i="2"/>
  <c r="M29" i="2"/>
  <c r="M28" i="2"/>
  <c r="M27" i="2"/>
  <c r="M26" i="2"/>
  <c r="M25" i="2"/>
  <c r="M24" i="2"/>
  <c r="M22" i="2"/>
  <c r="M21" i="2"/>
  <c r="O36" i="2"/>
  <c r="O35" i="2"/>
  <c r="O34" i="2"/>
  <c r="O33" i="2"/>
  <c r="O32" i="2"/>
  <c r="O31" i="2"/>
  <c r="O30" i="2"/>
  <c r="O29" i="2"/>
  <c r="O28" i="2"/>
  <c r="O27" i="2"/>
  <c r="O25" i="2"/>
  <c r="O24" i="2"/>
  <c r="O23" i="2"/>
  <c r="O22" i="2"/>
  <c r="O21" i="2"/>
  <c r="O20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G36" i="2"/>
  <c r="G35" i="2"/>
  <c r="G34" i="2"/>
  <c r="G33" i="2"/>
  <c r="G32" i="2"/>
  <c r="G31" i="2"/>
  <c r="G30" i="2"/>
  <c r="G29" i="2"/>
  <c r="G28" i="2"/>
  <c r="G26" i="2"/>
  <c r="G25" i="2"/>
  <c r="G24" i="2"/>
  <c r="G22" i="2"/>
  <c r="G21" i="2"/>
  <c r="G20" i="2"/>
  <c r="F36" i="2"/>
  <c r="F35" i="2"/>
  <c r="F34" i="2"/>
  <c r="F33" i="2"/>
  <c r="F32" i="2"/>
  <c r="F31" i="2"/>
  <c r="F30" i="2"/>
  <c r="F29" i="2"/>
  <c r="F28" i="2"/>
  <c r="F26" i="2"/>
  <c r="F25" i="2"/>
  <c r="F24" i="2"/>
  <c r="F22" i="2"/>
  <c r="F21" i="2"/>
  <c r="F20" i="2"/>
  <c r="D36" i="2"/>
  <c r="D35" i="2"/>
  <c r="D34" i="2"/>
  <c r="D33" i="2"/>
  <c r="D32" i="2"/>
  <c r="D31" i="2"/>
  <c r="D30" i="2"/>
  <c r="D29" i="2"/>
  <c r="D28" i="2"/>
  <c r="D26" i="2"/>
  <c r="D25" i="2"/>
  <c r="D24" i="2"/>
  <c r="D22" i="2"/>
  <c r="D21" i="2"/>
  <c r="D20" i="2"/>
  <c r="AF13" i="1"/>
  <c r="AF8" i="1"/>
  <c r="AF24" i="1"/>
  <c r="AF11" i="1"/>
  <c r="AF5" i="1"/>
  <c r="AF6" i="1"/>
  <c r="AF31" i="1"/>
  <c r="AF19" i="1"/>
  <c r="AF3" i="1"/>
  <c r="AF32" i="1"/>
  <c r="AF10" i="1"/>
  <c r="AF34" i="1"/>
  <c r="AF20" i="1"/>
  <c r="AF41" i="1"/>
  <c r="AE13" i="1"/>
  <c r="AE8" i="1"/>
  <c r="AE24" i="1"/>
  <c r="O26" i="2" s="1"/>
  <c r="AE11" i="1"/>
  <c r="M23" i="2" s="1"/>
  <c r="AE5" i="1"/>
  <c r="AE6" i="1"/>
  <c r="AE31" i="1"/>
  <c r="AE19" i="1"/>
  <c r="AE3" i="1"/>
  <c r="L36" i="2" s="1"/>
  <c r="AE32" i="1"/>
  <c r="AE10" i="1"/>
  <c r="AE34" i="1"/>
  <c r="AE20" i="1"/>
  <c r="AE41" i="1"/>
  <c r="L23" i="2" s="1"/>
  <c r="AD7" i="1"/>
  <c r="AD13" i="1"/>
  <c r="AD8" i="1"/>
  <c r="AD24" i="1"/>
  <c r="AD11" i="1"/>
  <c r="AD5" i="1"/>
  <c r="AD6" i="1"/>
  <c r="AD31" i="1"/>
  <c r="AD19" i="1"/>
  <c r="AD3" i="1"/>
  <c r="AD32" i="1"/>
  <c r="AD10" i="1"/>
  <c r="AD34" i="1"/>
  <c r="AD20" i="1"/>
  <c r="AD41" i="1"/>
  <c r="V5" i="1"/>
  <c r="V34" i="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3" i="11"/>
  <c r="T24" i="11"/>
  <c r="T25" i="11"/>
  <c r="T26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3" i="11"/>
  <c r="O24" i="11"/>
  <c r="O25" i="11"/>
  <c r="O26" i="11"/>
  <c r="F26" i="16"/>
  <c r="E76" i="14"/>
  <c r="E74" i="14"/>
  <c r="E73" i="14"/>
  <c r="E72" i="14"/>
  <c r="E71" i="14"/>
  <c r="J71" i="14" s="1"/>
  <c r="U32" i="16"/>
  <c r="T32" i="16"/>
  <c r="S32" i="16"/>
  <c r="R32" i="16"/>
  <c r="F25" i="16" s="1"/>
  <c r="I16" i="16"/>
  <c r="F24" i="16" s="1"/>
  <c r="G16" i="16"/>
  <c r="F16" i="16"/>
  <c r="U15" i="16"/>
  <c r="P15" i="16"/>
  <c r="O15" i="16"/>
  <c r="N15" i="16"/>
  <c r="M15" i="16"/>
  <c r="J15" i="16"/>
  <c r="H15" i="16"/>
  <c r="U14" i="16"/>
  <c r="P14" i="16"/>
  <c r="O14" i="16"/>
  <c r="N14" i="16"/>
  <c r="M14" i="16"/>
  <c r="J14" i="16"/>
  <c r="H14" i="16"/>
  <c r="U13" i="16"/>
  <c r="P13" i="16"/>
  <c r="O13" i="16"/>
  <c r="N13" i="16"/>
  <c r="M13" i="16"/>
  <c r="J13" i="16"/>
  <c r="H13" i="16"/>
  <c r="U12" i="16"/>
  <c r="P12" i="16"/>
  <c r="O12" i="16"/>
  <c r="N12" i="16"/>
  <c r="M12" i="16"/>
  <c r="J12" i="16"/>
  <c r="H12" i="16"/>
  <c r="U11" i="16"/>
  <c r="P11" i="16"/>
  <c r="O11" i="16"/>
  <c r="N11" i="16"/>
  <c r="M11" i="16"/>
  <c r="J11" i="16"/>
  <c r="H11" i="16"/>
  <c r="U10" i="16"/>
  <c r="P10" i="16"/>
  <c r="O10" i="16"/>
  <c r="N10" i="16"/>
  <c r="M10" i="16"/>
  <c r="J10" i="16"/>
  <c r="H10" i="16"/>
  <c r="U9" i="16"/>
  <c r="P9" i="16"/>
  <c r="O9" i="16"/>
  <c r="N9" i="16"/>
  <c r="M9" i="16"/>
  <c r="J9" i="16"/>
  <c r="H9" i="16"/>
  <c r="U8" i="16"/>
  <c r="P8" i="16"/>
  <c r="O8" i="16"/>
  <c r="N8" i="16"/>
  <c r="M8" i="16"/>
  <c r="J8" i="16"/>
  <c r="H8" i="16"/>
  <c r="U7" i="16"/>
  <c r="P7" i="16"/>
  <c r="O7" i="16"/>
  <c r="N7" i="16"/>
  <c r="M7" i="16"/>
  <c r="J7" i="16"/>
  <c r="H7" i="16"/>
  <c r="U6" i="16"/>
  <c r="P6" i="16"/>
  <c r="O6" i="16"/>
  <c r="N6" i="16"/>
  <c r="M6" i="16"/>
  <c r="J6" i="16"/>
  <c r="H6" i="16"/>
  <c r="U5" i="16"/>
  <c r="P5" i="16"/>
  <c r="O5" i="16"/>
  <c r="N5" i="16"/>
  <c r="M5" i="16"/>
  <c r="J5" i="16"/>
  <c r="H5" i="16"/>
  <c r="U4" i="16"/>
  <c r="P4" i="16"/>
  <c r="O4" i="16"/>
  <c r="N4" i="16"/>
  <c r="M4" i="16"/>
  <c r="J4" i="16"/>
  <c r="H4" i="16"/>
  <c r="O58" i="1"/>
  <c r="M58" i="1"/>
  <c r="L39" i="2" l="1"/>
  <c r="O39" i="2"/>
  <c r="G39" i="2"/>
  <c r="F39" i="2"/>
  <c r="D39" i="2"/>
  <c r="E28" i="2"/>
  <c r="E36" i="2"/>
  <c r="E27" i="2"/>
  <c r="E30" i="2"/>
  <c r="E33" i="2"/>
  <c r="E25" i="2"/>
  <c r="E31" i="2"/>
  <c r="E32" i="2"/>
  <c r="E24" i="2"/>
  <c r="E29" i="2"/>
  <c r="E35" i="2"/>
  <c r="E26" i="2"/>
  <c r="AD58" i="1"/>
  <c r="J74" i="14"/>
  <c r="J73" i="14"/>
  <c r="E77" i="14"/>
  <c r="E79" i="14" s="1"/>
  <c r="M20" i="2"/>
  <c r="AG35" i="1"/>
  <c r="G20" i="16"/>
  <c r="G76" i="14"/>
  <c r="J76" i="14" s="1"/>
  <c r="I75" i="14"/>
  <c r="J75" i="14"/>
  <c r="M36" i="2"/>
  <c r="P20" i="2"/>
  <c r="P39" i="2" s="1"/>
  <c r="F30" i="16"/>
  <c r="AG6" i="1"/>
  <c r="W3" i="1"/>
  <c r="V3" i="1"/>
  <c r="W8" i="1"/>
  <c r="V8" i="1"/>
  <c r="W41" i="1"/>
  <c r="V41" i="1"/>
  <c r="W19" i="1"/>
  <c r="V19" i="1"/>
  <c r="W13" i="1"/>
  <c r="V13" i="1"/>
  <c r="W20" i="1"/>
  <c r="V20" i="1"/>
  <c r="W31" i="1"/>
  <c r="V31" i="1"/>
  <c r="W6" i="1"/>
  <c r="V6" i="1"/>
  <c r="W11" i="1"/>
  <c r="V11" i="1"/>
  <c r="W10" i="1"/>
  <c r="V10" i="1"/>
  <c r="W32" i="1"/>
  <c r="V32" i="1"/>
  <c r="W24" i="1"/>
  <c r="V24" i="1"/>
  <c r="AG34" i="1"/>
  <c r="AG5" i="1"/>
  <c r="I73" i="14"/>
  <c r="I74" i="14"/>
  <c r="W5" i="1"/>
  <c r="AG11" i="1"/>
  <c r="W34" i="1"/>
  <c r="O3" i="11"/>
  <c r="T3" i="11" s="1"/>
  <c r="AG10" i="1"/>
  <c r="AG32" i="1"/>
  <c r="AG24" i="1"/>
  <c r="AG3" i="1"/>
  <c r="AG8" i="1"/>
  <c r="AG41" i="1"/>
  <c r="AG19" i="1"/>
  <c r="AG13" i="1"/>
  <c r="AG20" i="1"/>
  <c r="AG31" i="1"/>
  <c r="J16" i="16"/>
  <c r="U16" i="16"/>
  <c r="O16" i="16"/>
  <c r="H16" i="16"/>
  <c r="Q35" i="2"/>
  <c r="Q34" i="2"/>
  <c r="Q32" i="2"/>
  <c r="Q31" i="2"/>
  <c r="Q30" i="2"/>
  <c r="Q29" i="2"/>
  <c r="H12" i="2" s="1"/>
  <c r="Q28" i="2"/>
  <c r="Q27" i="2"/>
  <c r="Q26" i="2"/>
  <c r="Q25" i="2"/>
  <c r="Q23" i="2"/>
  <c r="Q22" i="2"/>
  <c r="Q24" i="2"/>
  <c r="Q21" i="2"/>
  <c r="J15" i="14"/>
  <c r="J14" i="14"/>
  <c r="J13" i="14"/>
  <c r="J12" i="14"/>
  <c r="J11" i="14"/>
  <c r="J10" i="14"/>
  <c r="J9" i="14"/>
  <c r="J8" i="14"/>
  <c r="J7" i="14"/>
  <c r="J6" i="14"/>
  <c r="J5" i="14"/>
  <c r="H15" i="14"/>
  <c r="H14" i="14"/>
  <c r="H13" i="14"/>
  <c r="H12" i="14"/>
  <c r="H11" i="14"/>
  <c r="H10" i="14"/>
  <c r="H9" i="14"/>
  <c r="H8" i="14"/>
  <c r="H7" i="14"/>
  <c r="H6" i="14"/>
  <c r="H5" i="14"/>
  <c r="H4" i="14"/>
  <c r="J4" i="14"/>
  <c r="I61" i="14"/>
  <c r="I62" i="14" s="1"/>
  <c r="K61" i="14"/>
  <c r="J61" i="14"/>
  <c r="S61" i="14"/>
  <c r="N61" i="14"/>
  <c r="G5" i="2" s="1"/>
  <c r="E16" i="14"/>
  <c r="G15" i="14"/>
  <c r="G14" i="14"/>
  <c r="G13" i="14"/>
  <c r="G12" i="14"/>
  <c r="G11" i="14"/>
  <c r="G10" i="14"/>
  <c r="G9" i="14"/>
  <c r="G8" i="14"/>
  <c r="G7" i="14"/>
  <c r="G6" i="14"/>
  <c r="G5" i="14"/>
  <c r="G4" i="14"/>
  <c r="E39" i="2" l="1"/>
  <c r="G30" i="16"/>
  <c r="F58" i="16"/>
  <c r="F83" i="14"/>
  <c r="E80" i="14"/>
  <c r="F82" i="14" s="1"/>
  <c r="F84" i="14" s="1"/>
  <c r="F85" i="14" s="1"/>
  <c r="I76" i="14"/>
  <c r="G4" i="2"/>
  <c r="C4" i="2"/>
  <c r="Q36" i="2"/>
  <c r="Q20" i="2"/>
  <c r="I71" i="14"/>
  <c r="G72" i="14"/>
  <c r="Q15" i="16"/>
  <c r="R4" i="16"/>
  <c r="Q8" i="16"/>
  <c r="R5" i="16"/>
  <c r="R13" i="16"/>
  <c r="T10" i="16"/>
  <c r="Q7" i="16"/>
  <c r="R12" i="16"/>
  <c r="Q9" i="16"/>
  <c r="R6" i="16"/>
  <c r="R14" i="16"/>
  <c r="T11" i="16"/>
  <c r="Q10" i="16"/>
  <c r="R7" i="16"/>
  <c r="R15" i="16"/>
  <c r="T12" i="16"/>
  <c r="Q11" i="16"/>
  <c r="R8" i="16"/>
  <c r="T5" i="16"/>
  <c r="T13" i="16"/>
  <c r="Q4" i="16"/>
  <c r="R9" i="16"/>
  <c r="T6" i="16"/>
  <c r="T14" i="16"/>
  <c r="Q12" i="16"/>
  <c r="Q5" i="16"/>
  <c r="Q13" i="16"/>
  <c r="R10" i="16"/>
  <c r="T7" i="16"/>
  <c r="T15" i="16"/>
  <c r="Q6" i="16"/>
  <c r="Q14" i="16"/>
  <c r="T4" i="16"/>
  <c r="R11" i="16"/>
  <c r="T8" i="16"/>
  <c r="T9" i="16"/>
  <c r="N62" i="14"/>
  <c r="S62" i="14"/>
  <c r="I11" i="14"/>
  <c r="I6" i="14"/>
  <c r="I8" i="14"/>
  <c r="I13" i="14"/>
  <c r="I5" i="14"/>
  <c r="I12" i="14"/>
  <c r="I14" i="14"/>
  <c r="I4" i="14"/>
  <c r="I10" i="14"/>
  <c r="I7" i="14"/>
  <c r="I9" i="14"/>
  <c r="H16" i="14"/>
  <c r="I15" i="14"/>
  <c r="G16" i="14"/>
  <c r="C3" i="2" s="1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M9" i="6"/>
  <c r="H9" i="6"/>
  <c r="E9" i="6"/>
  <c r="E14" i="2"/>
  <c r="G14" i="2" s="1"/>
  <c r="I14" i="2" s="1"/>
  <c r="E12" i="2"/>
  <c r="G12" i="2" s="1"/>
  <c r="I12" i="2" s="1"/>
  <c r="F22" i="16" s="1"/>
  <c r="E11" i="2"/>
  <c r="G11" i="2" s="1"/>
  <c r="I11" i="2" s="1"/>
  <c r="F20" i="16" s="1"/>
  <c r="F49" i="16" s="1"/>
  <c r="BH30" i="9"/>
  <c r="BH31" i="9" s="1"/>
  <c r="BE29" i="9"/>
  <c r="BD29" i="9"/>
  <c r="BC29" i="9"/>
  <c r="M29" i="9"/>
  <c r="M30" i="9" s="1"/>
  <c r="BP28" i="9"/>
  <c r="BQ28" i="9" s="1"/>
  <c r="BO28" i="9"/>
  <c r="BL28" i="9"/>
  <c r="BL27" i="9"/>
  <c r="BL26" i="9"/>
  <c r="BL25" i="9"/>
  <c r="BL24" i="9"/>
  <c r="BL23" i="9"/>
  <c r="BL22" i="9"/>
  <c r="BL21" i="9"/>
  <c r="BL20" i="9"/>
  <c r="BL19" i="9"/>
  <c r="BL18" i="9"/>
  <c r="BL17" i="9"/>
  <c r="BL16" i="9"/>
  <c r="BL15" i="9"/>
  <c r="BL14" i="9"/>
  <c r="BL13" i="9"/>
  <c r="BL12" i="9"/>
  <c r="BL11" i="9"/>
  <c r="BL10" i="9"/>
  <c r="BL9" i="9"/>
  <c r="BL8" i="9"/>
  <c r="BL7" i="9"/>
  <c r="BL6" i="9"/>
  <c r="BL5" i="9"/>
  <c r="BL4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L3" i="9"/>
  <c r="D15" i="6"/>
  <c r="D16" i="6"/>
  <c r="D17" i="6"/>
  <c r="D18" i="6"/>
  <c r="D19" i="6"/>
  <c r="D20" i="6"/>
  <c r="D21" i="6"/>
  <c r="D22" i="6"/>
  <c r="D23" i="6"/>
  <c r="D24" i="6"/>
  <c r="D25" i="6"/>
  <c r="D14" i="6"/>
  <c r="J5" i="6"/>
  <c r="J6" i="6"/>
  <c r="G22" i="16" l="1"/>
  <c r="BO12" i="9"/>
  <c r="E10" i="2"/>
  <c r="G10" i="2" s="1"/>
  <c r="I10" i="2" s="1"/>
  <c r="F21" i="16" s="1"/>
  <c r="G21" i="16"/>
  <c r="I72" i="14"/>
  <c r="I77" i="14" s="1"/>
  <c r="J72" i="14"/>
  <c r="H5" i="2"/>
  <c r="H4" i="2"/>
  <c r="D4" i="2"/>
  <c r="C5" i="2"/>
  <c r="AF7" i="1"/>
  <c r="AF58" i="1" s="1"/>
  <c r="AE7" i="1"/>
  <c r="AE58" i="1" s="1"/>
  <c r="G77" i="14"/>
  <c r="S15" i="16"/>
  <c r="S13" i="16"/>
  <c r="S9" i="16"/>
  <c r="S8" i="16"/>
  <c r="S7" i="16"/>
  <c r="S6" i="16"/>
  <c r="S10" i="16"/>
  <c r="S11" i="16"/>
  <c r="S4" i="16"/>
  <c r="R16" i="16"/>
  <c r="S14" i="16"/>
  <c r="T16" i="16"/>
  <c r="S5" i="16"/>
  <c r="S12" i="16"/>
  <c r="Q16" i="16"/>
  <c r="I16" i="14"/>
  <c r="O27" i="11"/>
  <c r="T2" i="11"/>
  <c r="D26" i="6"/>
  <c r="I4" i="6" s="1"/>
  <c r="BP12" i="9"/>
  <c r="BT12" i="9" s="1"/>
  <c r="BB29" i="9"/>
  <c r="BL30" i="9"/>
  <c r="BM30" i="9" s="1"/>
  <c r="BN30" i="9" s="1"/>
  <c r="BO21" i="9"/>
  <c r="BP21" i="9" s="1"/>
  <c r="BO7" i="9"/>
  <c r="BP7" i="9" s="1"/>
  <c r="BO17" i="9"/>
  <c r="BP17" i="9" s="1"/>
  <c r="BQ17" i="9" s="1"/>
  <c r="BO27" i="9"/>
  <c r="BP27" i="9" s="1"/>
  <c r="BQ27" i="9" s="1"/>
  <c r="BS27" i="9" s="1"/>
  <c r="BO4" i="9"/>
  <c r="BP4" i="9" s="1"/>
  <c r="BQ4" i="9" s="1"/>
  <c r="BS4" i="9" s="1"/>
  <c r="G29" i="16" l="1"/>
  <c r="G32" i="16" s="1"/>
  <c r="F29" i="16"/>
  <c r="F32" i="16" s="1"/>
  <c r="F45" i="16"/>
  <c r="F52" i="16" s="1"/>
  <c r="BQ7" i="9"/>
  <c r="BS7" i="9" s="1"/>
  <c r="BT7" i="9"/>
  <c r="BQ21" i="9"/>
  <c r="BS21" i="9" s="1"/>
  <c r="BT21" i="9"/>
  <c r="BQ12" i="9"/>
  <c r="BS12" i="9" s="1"/>
  <c r="BP30" i="9"/>
  <c r="M33" i="2"/>
  <c r="AG7" i="1"/>
  <c r="AG58" i="1" s="1"/>
  <c r="W7" i="1"/>
  <c r="V7" i="1"/>
  <c r="I9" i="6"/>
  <c r="J4" i="6"/>
  <c r="S16" i="16"/>
  <c r="S27" i="11"/>
  <c r="G6" i="2" s="1"/>
  <c r="H6" i="2" s="1"/>
  <c r="P27" i="11"/>
  <c r="T27" i="11"/>
  <c r="H20" i="2"/>
  <c r="H39" i="2" s="1"/>
  <c r="BL31" i="9"/>
  <c r="BL35" i="9" s="1"/>
  <c r="Q33" i="2" l="1"/>
  <c r="M39" i="2"/>
  <c r="F54" i="16"/>
  <c r="F56" i="16" s="1"/>
  <c r="F60" i="16" s="1"/>
  <c r="BQ30" i="9"/>
  <c r="BV30" i="9" s="1"/>
  <c r="BV32" i="9" s="1"/>
  <c r="BS30" i="9"/>
  <c r="E13" i="2"/>
  <c r="G13" i="2" s="1"/>
  <c r="G3" i="2"/>
  <c r="H3" i="2" s="1"/>
  <c r="H72" i="14"/>
  <c r="H75" i="14"/>
  <c r="H76" i="14"/>
  <c r="H73" i="14"/>
  <c r="H74" i="14"/>
  <c r="J9" i="6"/>
  <c r="BM31" i="9"/>
  <c r="BN31" i="9" s="1"/>
  <c r="Q39" i="2" l="1"/>
  <c r="H13" i="2" s="1"/>
  <c r="F77" i="14"/>
  <c r="H71" i="14"/>
  <c r="H77" i="14" s="1"/>
  <c r="F9" i="6"/>
  <c r="G15" i="2"/>
  <c r="H15" i="2" l="1"/>
  <c r="I13" i="2"/>
  <c r="I1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Falo', Stefano</author>
  </authors>
  <commentList>
    <comment ref="AS2" authorId="0" shapeId="0" xr:uid="{7CBA35CE-2D78-4D97-A665-487835ACF52F}">
      <text>
        <r>
          <rPr>
            <sz val="9"/>
            <color indexed="81"/>
            <rFont val="Tahoma"/>
            <family val="2"/>
          </rPr>
          <t xml:space="preserve">poste-intune-logisticalotto2.it@capgemini.com
</t>
        </r>
      </text>
    </comment>
    <comment ref="AT2" authorId="0" shapeId="0" xr:uid="{6F1620F3-EA8A-4D85-BF48-367A631966E9}">
      <text>
        <r>
          <rPr>
            <sz val="9"/>
            <color indexed="81"/>
            <rFont val="Tahoma"/>
            <family val="2"/>
          </rPr>
          <t xml:space="preserve">poste-logisticalotto2-ticketnodo.it@capgemini.com
</t>
        </r>
      </text>
    </comment>
    <comment ref="AU2" authorId="0" shapeId="0" xr:uid="{ADDA09F8-169C-4F54-881A-1BB9450E2170}">
      <text>
        <r>
          <rPr>
            <sz val="9"/>
            <color indexed="81"/>
            <rFont val="Tahoma"/>
            <family val="2"/>
          </rPr>
          <t xml:space="preserve">capreferentikt@capgemini.com
</t>
        </r>
      </text>
    </comment>
    <comment ref="AV2" authorId="0" shapeId="0" xr:uid="{53AC4D85-98BB-4F10-A0DA-E45FE3F282F0}">
      <text>
        <r>
          <rPr>
            <sz val="9"/>
            <color indexed="81"/>
            <rFont val="Tahoma"/>
            <family val="2"/>
          </rPr>
          <t xml:space="preserve">caplogistica@capgemini.com
</t>
        </r>
      </text>
    </comment>
    <comment ref="AW2" authorId="0" shapeId="0" xr:uid="{154B497D-7B6B-4E51-A89F-1128FA2D9197}">
      <text>
        <r>
          <rPr>
            <sz val="9"/>
            <color indexed="81"/>
            <rFont val="Tahoma"/>
            <family val="2"/>
          </rPr>
          <t xml:space="preserve">poste-monitoraggio-produzione.it@capgemini.com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Falo', Stefano</author>
  </authors>
  <commentList>
    <comment ref="M3" authorId="0" shapeId="0" xr:uid="{ABDF0510-C6B2-4FCA-A4FA-3FE7C0B31163}">
      <text>
        <r>
          <rPr>
            <b/>
            <sz val="9"/>
            <color indexed="81"/>
            <rFont val="Tahoma"/>
            <family val="2"/>
          </rPr>
          <t>PDF e XLS</t>
        </r>
      </text>
    </comment>
    <comment ref="N3" authorId="0" shapeId="0" xr:uid="{2BD2C5C2-0379-4750-88DB-FC5EF50EBA35}">
      <text>
        <r>
          <rPr>
            <b/>
            <sz val="9"/>
            <color indexed="81"/>
            <rFont val="Tahoma"/>
            <family val="2"/>
          </rPr>
          <t>PDF e XLS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Falo', Stefano</author>
  </authors>
  <commentList>
    <comment ref="B4" authorId="0" shapeId="0" xr:uid="{FBB4B3B1-CEAE-47F1-813B-7A0F9B0EB64A}">
      <text>
        <r>
          <rPr>
            <b/>
            <sz val="9"/>
            <color indexed="81"/>
            <rFont val="Tahoma"/>
            <family val="2"/>
          </rPr>
          <t>Ordini Emessi</t>
        </r>
      </text>
    </comment>
    <comment ref="B10" authorId="0" shapeId="0" xr:uid="{2D3C0569-A79C-46C1-91F3-B8081FB3E7FF}">
      <text>
        <r>
          <rPr>
            <sz val="9"/>
            <color indexed="81"/>
            <rFont val="Tahoma"/>
            <family val="2"/>
          </rPr>
          <t>=(247*6*21) tranne Agosto e dicembre che =(247*6*21)/2</t>
        </r>
      </text>
    </comment>
    <comment ref="B12" authorId="0" shapeId="0" xr:uid="{CF2C9F13-C1D7-4E21-A97B-A15360FD79DE}">
      <text>
        <r>
          <rPr>
            <sz val="9"/>
            <color indexed="81"/>
            <rFont val="Tahoma"/>
            <family val="2"/>
          </rPr>
          <t>40K€/mese x 12 mesi</t>
        </r>
      </text>
    </comment>
  </commentList>
</comments>
</file>

<file path=xl/sharedStrings.xml><?xml version="1.0" encoding="utf-8"?>
<sst xmlns="http://schemas.openxmlformats.org/spreadsheetml/2006/main" count="2432" uniqueCount="1078">
  <si>
    <t>SUBCO</t>
  </si>
  <si>
    <t>MEV</t>
  </si>
  <si>
    <t>Descrizione</t>
  </si>
  <si>
    <t>PM POSTE</t>
  </si>
  <si>
    <t>PM CAP</t>
  </si>
  <si>
    <t>TOW02.1</t>
  </si>
  <si>
    <t>TOW02.2</t>
  </si>
  <si>
    <t>TOW02.3</t>
  </si>
  <si>
    <t>TOW02.4</t>
  </si>
  <si>
    <t>TOW02.5</t>
  </si>
  <si>
    <t>TOW02.6</t>
  </si>
  <si>
    <t>Totale</t>
  </si>
  <si>
    <t>Ordinato (BdO)</t>
  </si>
  <si>
    <t>Fatturato</t>
  </si>
  <si>
    <t>Residuo fatturabile</t>
  </si>
  <si>
    <t>Stato</t>
  </si>
  <si>
    <t>Fase Lavorazione</t>
  </si>
  <si>
    <t>Elapsed da approvazione</t>
  </si>
  <si>
    <t>Note</t>
  </si>
  <si>
    <t>AT ID</t>
  </si>
  <si>
    <t>Importo Fornitura</t>
  </si>
  <si>
    <t>BC</t>
  </si>
  <si>
    <t>STATO</t>
  </si>
  <si>
    <t>Lerro</t>
  </si>
  <si>
    <t>Fabbri</t>
  </si>
  <si>
    <t>Approvato</t>
  </si>
  <si>
    <t>NPSO</t>
  </si>
  <si>
    <t>In lavorazione</t>
  </si>
  <si>
    <t>Muru</t>
  </si>
  <si>
    <t>Del Vecchio</t>
  </si>
  <si>
    <t>Nodo</t>
  </si>
  <si>
    <t>Rilaciata Collaudo</t>
  </si>
  <si>
    <t>Sugamiele</t>
  </si>
  <si>
    <t>Eliminato</t>
  </si>
  <si>
    <t>Mele</t>
  </si>
  <si>
    <t>Mollo</t>
  </si>
  <si>
    <t>BEP</t>
  </si>
  <si>
    <t>In approvazione</t>
  </si>
  <si>
    <t>In attesa requisiti Poste</t>
  </si>
  <si>
    <t>Regolato in altra MEV</t>
  </si>
  <si>
    <t>WIPI</t>
  </si>
  <si>
    <t>NODO</t>
  </si>
  <si>
    <t>Sviluppo interno</t>
  </si>
  <si>
    <t>Bianco</t>
  </si>
  <si>
    <t>ILP</t>
  </si>
  <si>
    <t>Collaudo</t>
  </si>
  <si>
    <t>SAP EM</t>
  </si>
  <si>
    <t>Mediation</t>
  </si>
  <si>
    <t>Mediation / SAP EM</t>
  </si>
  <si>
    <t>Dussoni</t>
  </si>
  <si>
    <t>Di Baccio</t>
  </si>
  <si>
    <t>SP1</t>
  </si>
  <si>
    <t>FMS</t>
  </si>
  <si>
    <t>WFM</t>
  </si>
  <si>
    <t>Faiola</t>
  </si>
  <si>
    <t>Galanti</t>
  </si>
  <si>
    <t>SGT</t>
  </si>
  <si>
    <t>D'Ippolito</t>
  </si>
  <si>
    <t>Checchi</t>
  </si>
  <si>
    <t>Scelzo</t>
  </si>
  <si>
    <t>De Carluccio</t>
  </si>
  <si>
    <t>Presidio</t>
  </si>
  <si>
    <t>Giannoni</t>
  </si>
  <si>
    <t>Mazzini</t>
  </si>
  <si>
    <t>PSO</t>
  </si>
  <si>
    <t>In analisi / Stima</t>
  </si>
  <si>
    <t>Sospeso</t>
  </si>
  <si>
    <t>Documento Offerta</t>
  </si>
  <si>
    <t>Accantonato</t>
  </si>
  <si>
    <t>NEL</t>
  </si>
  <si>
    <t>In Vita</t>
  </si>
  <si>
    <t>IPER / IPERSUITE</t>
  </si>
  <si>
    <t>SAP EM / Mediation</t>
  </si>
  <si>
    <t>TOTALE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</si>
  <si>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</si>
  <si>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</si>
  <si>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</si>
  <si>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</si>
  <si>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</si>
  <si>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</si>
  <si>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</si>
  <si>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</si>
  <si>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</si>
  <si>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</si>
  <si>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</si>
  <si>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</si>
  <si>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Ordinato</t>
  </si>
  <si>
    <t>Data rilascio collaudo</t>
  </si>
  <si>
    <t>Offerta (€)</t>
  </si>
  <si>
    <t>Nome</t>
  </si>
  <si>
    <t>Data</t>
  </si>
  <si>
    <t>TOW</t>
  </si>
  <si>
    <t>TOW  Contratto</t>
  </si>
  <si>
    <t>Valore Unitario</t>
  </si>
  <si>
    <t>Valore Totale</t>
  </si>
  <si>
    <t xml:space="preserve">Importo Fornitura scontato </t>
  </si>
  <si>
    <t>Sconto</t>
  </si>
  <si>
    <t>Importo</t>
  </si>
  <si>
    <t>SAP Code</t>
  </si>
  <si>
    <t>COV</t>
  </si>
  <si>
    <t>INVOICE</t>
  </si>
  <si>
    <t>DELTA INVOICE</t>
  </si>
  <si>
    <t>REVENUE</t>
  </si>
  <si>
    <t>DELTA REVENUE</t>
  </si>
  <si>
    <t>Tipo Contratto</t>
  </si>
  <si>
    <t>CAPGEMINI</t>
  </si>
  <si>
    <t>POSTE</t>
  </si>
  <si>
    <t>Resp. Fornitore</t>
  </si>
  <si>
    <t>FORECAST</t>
  </si>
  <si>
    <t>TOTALE ATTESO</t>
  </si>
  <si>
    <t>ORDINATO</t>
  </si>
  <si>
    <t>DELTA</t>
  </si>
  <si>
    <t>2026</t>
  </si>
  <si>
    <t>2027</t>
  </si>
  <si>
    <t>2028</t>
  </si>
  <si>
    <t>2029</t>
  </si>
  <si>
    <t>Da Ordinare</t>
  </si>
  <si>
    <t>SUB-APPALTO</t>
  </si>
  <si>
    <t>TM</t>
  </si>
  <si>
    <t>RESIDUO</t>
  </si>
  <si>
    <t>-</t>
  </si>
  <si>
    <t>SOCIETA'</t>
  </si>
  <si>
    <t>DATA RICHIESTA</t>
  </si>
  <si>
    <t>DATA APPROVAZIONE</t>
  </si>
  <si>
    <t>IMPORTO</t>
  </si>
  <si>
    <t>CONSUMO</t>
  </si>
  <si>
    <t>TASK</t>
  </si>
  <si>
    <t>Team Lavoro</t>
  </si>
  <si>
    <t>Costituzione Team</t>
  </si>
  <si>
    <t>R.26.05</t>
  </si>
  <si>
    <t>RELEASE Poste</t>
  </si>
  <si>
    <t>RELEASE CAP</t>
  </si>
  <si>
    <t>ID</t>
  </si>
  <si>
    <t>R.26.06</t>
  </si>
  <si>
    <t>R.26.07</t>
  </si>
  <si>
    <t>R.26.08</t>
  </si>
  <si>
    <t>R.26.09</t>
  </si>
  <si>
    <t>R.26.10</t>
  </si>
  <si>
    <t>R.26.11</t>
  </si>
  <si>
    <t>R.26.12</t>
  </si>
  <si>
    <t>R.27.01</t>
  </si>
  <si>
    <t>R.27.02</t>
  </si>
  <si>
    <t>R.27.03</t>
  </si>
  <si>
    <t>R.27.04</t>
  </si>
  <si>
    <t>R.27.05</t>
  </si>
  <si>
    <t>R.27.06</t>
  </si>
  <si>
    <t>R.27.07</t>
  </si>
  <si>
    <t>R.27.08</t>
  </si>
  <si>
    <t>R.27.09</t>
  </si>
  <si>
    <t>R.27.10</t>
  </si>
  <si>
    <t>R.27.11</t>
  </si>
  <si>
    <t>R.27.12</t>
  </si>
  <si>
    <t>RECUPERO</t>
  </si>
  <si>
    <t>SORTING CONTROLLER</t>
  </si>
  <si>
    <t>N° (GG)</t>
  </si>
  <si>
    <t>RISORSA</t>
  </si>
  <si>
    <t>ACCORDO TM (€/gg)</t>
  </si>
  <si>
    <t xml:space="preserve">Mesi </t>
  </si>
  <si>
    <t>Testoni</t>
  </si>
  <si>
    <t>TESTONI  2026</t>
  </si>
  <si>
    <t>PM Poste</t>
  </si>
  <si>
    <t>PM Cap</t>
  </si>
  <si>
    <t>Riggio</t>
  </si>
  <si>
    <t>Menna</t>
  </si>
  <si>
    <t>Piumelli</t>
  </si>
  <si>
    <t>Sviluppo Interno</t>
  </si>
  <si>
    <t>Levia HUB S.p.A.</t>
  </si>
  <si>
    <t>R.28.01</t>
  </si>
  <si>
    <t>R.28.02</t>
  </si>
  <si>
    <t>R.28.03</t>
  </si>
  <si>
    <t>R.28.04</t>
  </si>
  <si>
    <t>R.28.05</t>
  </si>
  <si>
    <t>R.28.06</t>
  </si>
  <si>
    <t>R.28.07</t>
  </si>
  <si>
    <t>R.28.08</t>
  </si>
  <si>
    <t>R.28.09</t>
  </si>
  <si>
    <t>R.28.10</t>
  </si>
  <si>
    <t>R.28.11</t>
  </si>
  <si>
    <t>R.28.12</t>
  </si>
  <si>
    <t>Intent S.p.A.</t>
  </si>
  <si>
    <t>Logica Informatica S.r.L.</t>
  </si>
  <si>
    <t>GPA Gruppo Progetti Avanzati SRL</t>
  </si>
  <si>
    <t>Stabile</t>
  </si>
  <si>
    <t>R.29.01</t>
  </si>
  <si>
    <t>R.29.02</t>
  </si>
  <si>
    <t>R.29.03</t>
  </si>
  <si>
    <t>R.29.04</t>
  </si>
  <si>
    <t>R.29.05</t>
  </si>
  <si>
    <t>R.29.06</t>
  </si>
  <si>
    <t>R.29.07</t>
  </si>
  <si>
    <t>R.29.08</t>
  </si>
  <si>
    <t>R.29.09</t>
  </si>
  <si>
    <t>R.29.10</t>
  </si>
  <si>
    <t>R.29.11</t>
  </si>
  <si>
    <t>R.29.12</t>
  </si>
  <si>
    <t>FASE RILASCIO</t>
  </si>
  <si>
    <t>ANNO COMPETENZA</t>
  </si>
  <si>
    <t>Ceci</t>
  </si>
  <si>
    <t>MAIL BOX - CdC</t>
  </si>
  <si>
    <t>SAP LESS</t>
  </si>
  <si>
    <t>SAP ICC</t>
  </si>
  <si>
    <t>SAP AII</t>
  </si>
  <si>
    <t>QDO</t>
  </si>
  <si>
    <t>Proroga 1</t>
  </si>
  <si>
    <t>Proroga 2</t>
  </si>
  <si>
    <t>Proroga 3</t>
  </si>
  <si>
    <t>Proroga 4</t>
  </si>
  <si>
    <t>Proroga 5</t>
  </si>
  <si>
    <t>Proroga 6</t>
  </si>
  <si>
    <t>GENNAIO 2026</t>
  </si>
  <si>
    <t>#</t>
  </si>
  <si>
    <t>Risorse</t>
  </si>
  <si>
    <t>Ambito</t>
  </si>
  <si>
    <t>Specialità</t>
  </si>
  <si>
    <t>Poste Application</t>
  </si>
  <si>
    <t>GRADE</t>
  </si>
  <si>
    <t>CDC</t>
  </si>
  <si>
    <t>Practice</t>
  </si>
  <si>
    <t>ADRC</t>
  </si>
  <si>
    <t>COR</t>
  </si>
  <si>
    <t>Corp ID</t>
  </si>
  <si>
    <t>E-mail address</t>
  </si>
  <si>
    <t>Certificazioni</t>
  </si>
  <si>
    <t>Serial Number</t>
  </si>
  <si>
    <t>System name</t>
  </si>
  <si>
    <t xml:space="preserve">Wireless MAC </t>
  </si>
  <si>
    <t>Device name</t>
  </si>
  <si>
    <t>Processor</t>
  </si>
  <si>
    <t>Installed RAM</t>
  </si>
  <si>
    <t>Device ID</t>
  </si>
  <si>
    <t>Product ID</t>
  </si>
  <si>
    <t>System type</t>
  </si>
  <si>
    <t>Pen and touch</t>
  </si>
  <si>
    <t>Edition</t>
  </si>
  <si>
    <t>Version</t>
  </si>
  <si>
    <t>Installed on</t>
  </si>
  <si>
    <t>OS build</t>
  </si>
  <si>
    <t>Experience</t>
  </si>
  <si>
    <t xml:space="preserve">SEDE </t>
  </si>
  <si>
    <t>Data ingresso</t>
  </si>
  <si>
    <t>Data Uscita</t>
  </si>
  <si>
    <t>Dichiarazione uscita</t>
  </si>
  <si>
    <t>IT Charter</t>
  </si>
  <si>
    <t>Corso Cybersecurity</t>
  </si>
  <si>
    <t>Data Corso</t>
  </si>
  <si>
    <t>Zscaler (enable)</t>
  </si>
  <si>
    <t>Intune Move</t>
  </si>
  <si>
    <t>Utenza Poste</t>
  </si>
  <si>
    <t xml:space="preserve">MS Office </t>
  </si>
  <si>
    <t>DL IT Poste-Intune-LogisticaLotto2</t>
  </si>
  <si>
    <t>DL IT Poste - Logistica Lotto 2 - Ticket Nodo</t>
  </si>
  <si>
    <t>DL IT Cap Referenti KT</t>
  </si>
  <si>
    <t>DL IT CAP Logistica</t>
  </si>
  <si>
    <t xml:space="preserve">DL IT Poste-Monitoraggio-Produzione </t>
  </si>
  <si>
    <t>DL IT CapVolPay Monitoraggio</t>
  </si>
  <si>
    <t>Telelavoro</t>
  </si>
  <si>
    <t>Previste</t>
  </si>
  <si>
    <t>FCST</t>
  </si>
  <si>
    <t>Reali</t>
  </si>
  <si>
    <t>Differenza</t>
  </si>
  <si>
    <t>ACTUAL</t>
  </si>
  <si>
    <t>AZIONI</t>
  </si>
  <si>
    <t>TEMPI</t>
  </si>
  <si>
    <t>ALLOCAZIONE %</t>
  </si>
  <si>
    <t>TARGET</t>
  </si>
  <si>
    <t>SAVING</t>
  </si>
  <si>
    <t>Costo giornaliero</t>
  </si>
  <si>
    <t>Costo mese</t>
  </si>
  <si>
    <t>Stefanelli Mauro</t>
  </si>
  <si>
    <t>PM</t>
  </si>
  <si>
    <t>ABL_C&amp;CA EM &amp; BA</t>
  </si>
  <si>
    <t>MSTEFANE</t>
  </si>
  <si>
    <t>mauro.stefanelli@capgemini.com</t>
  </si>
  <si>
    <t>TX4M19GQ79</t>
  </si>
  <si>
    <t>bc:d0:74:a1:74:10</t>
  </si>
  <si>
    <t>Apple M1 Pro</t>
  </si>
  <si>
    <t>16,0 GB</t>
  </si>
  <si>
    <t>261B129C-EAF9-5F5A-9682-6FFA748F15BC</t>
  </si>
  <si>
    <t>00006000-001A19980E92401E</t>
  </si>
  <si>
    <t>Sequoia 15.4.1  (24E263)</t>
  </si>
  <si>
    <t>No pen or touch input is available for this display</t>
  </si>
  <si>
    <t>15.4.1</t>
  </si>
  <si>
    <t>MacBook Pro</t>
  </si>
  <si>
    <t>Roma - Torre Spaccata</t>
  </si>
  <si>
    <t>OK</t>
  </si>
  <si>
    <t>Completed</t>
  </si>
  <si>
    <t>N</t>
  </si>
  <si>
    <t>CAP3FJI</t>
  </si>
  <si>
    <t>x</t>
  </si>
  <si>
    <t>Falo' Stefano</t>
  </si>
  <si>
    <t>PMO</t>
  </si>
  <si>
    <t>ABL_BTS BANKING</t>
  </si>
  <si>
    <t>STFALO</t>
  </si>
  <si>
    <t xml:space="preserve">stefano.falo@capgemini.com </t>
  </si>
  <si>
    <t>ITLIK1710001948</t>
  </si>
  <si>
    <t>70-A8-D3-5F-26-70</t>
  </si>
  <si>
    <t>LIT-5CG2191HW5</t>
  </si>
  <si>
    <t>11th Gen Intel(R) Core(TM) i5-1145G7 @ 2.60GHz   2.61 GHz</t>
  </si>
  <si>
    <t>16,0 GB (15,7 GB usable)</t>
  </si>
  <si>
    <t>78CDA13A-E7F6-4E2B-9703-D92A31012634</t>
  </si>
  <si>
    <t>00331-10000-00001-AA195</t>
  </si>
  <si>
    <t>64-bit operating system, x64-based processor</t>
  </si>
  <si>
    <t>Windows 11 Pro</t>
  </si>
  <si>
    <t>23H2</t>
  </si>
  <si>
    <t>29/‎10/‎2024</t>
  </si>
  <si>
    <t>22631.5189</t>
  </si>
  <si>
    <t>Windows Feature Experience Pack 1000.22700.1077.0</t>
  </si>
  <si>
    <t>Milano - Pharo</t>
  </si>
  <si>
    <t>Y</t>
  </si>
  <si>
    <t>CAP3J8J</t>
  </si>
  <si>
    <t>Fabbri Maurizio</t>
  </si>
  <si>
    <t>ACCETTAZIONE e PRENOTAZIONE</t>
  </si>
  <si>
    <t>NPSO/BEP</t>
  </si>
  <si>
    <t>NPSO / BEP</t>
  </si>
  <si>
    <t>ABL_DCX EXPERIENCE LEAD</t>
  </si>
  <si>
    <t>MFABBRI</t>
  </si>
  <si>
    <t>maurizio.fabbri@capgemini.com</t>
  </si>
  <si>
    <t>5CG2213HRQ</t>
  </si>
  <si>
    <t>ITLIK1710001365</t>
  </si>
  <si>
    <t>70-A8-D3-E9-75-78</t>
  </si>
  <si>
    <t>97D6D904-856F-471B-85E6-2B238085CEC6</t>
  </si>
  <si>
    <t>00331-10000-00001-AA777</t>
  </si>
  <si>
    <t>16/‎02/‎2024</t>
  </si>
  <si>
    <t>La Spezia</t>
  </si>
  <si>
    <t>CAP3F17</t>
  </si>
  <si>
    <t>SI</t>
  </si>
  <si>
    <t>Ricciardi Giannoni Francesco</t>
  </si>
  <si>
    <t>ABL_PBS ORACLE</t>
  </si>
  <si>
    <t>FRICCIAR</t>
  </si>
  <si>
    <t>francesco.ricciardi@capgemini.com</t>
  </si>
  <si>
    <t>- MongoDB Associate
MongoDB Architect
General English - EF Level 6 - Elementary - CEFR Level A2
Capgemini - Software Engineering</t>
  </si>
  <si>
    <t>5CG3422QPW</t>
  </si>
  <si>
    <t>LIT004315</t>
  </si>
  <si>
    <t>BC-A8-A6-59-9C-3C</t>
  </si>
  <si>
    <t>ITLIK1710002954</t>
  </si>
  <si>
    <t>13th Gen Intel(R) Core(TM) i5-1345U   1.60 GHz</t>
  </si>
  <si>
    <t>16,0 GB (15,6 GB utilizzabile)</t>
  </si>
  <si>
    <t>CE027D6E-A953-4688-AD62-303958ACDE51</t>
  </si>
  <si>
    <t>00331-10000-00001-AA532</t>
  </si>
  <si>
    <t>Sistema operativo a 64 bit, processore basato su x64</t>
  </si>
  <si>
    <t>Nessun input penna o tocco disponibile per questo schermo</t>
  </si>
  <si>
    <t>‎19/‎01/‎2024</t>
  </si>
  <si>
    <t>Pacchetto di esperienze per funzionalità Windows 1000.22700.1077.0</t>
  </si>
  <si>
    <t>CAP3XTV</t>
  </si>
  <si>
    <t>NO ROLLBACK</t>
  </si>
  <si>
    <t>Perrotta Alessio</t>
  </si>
  <si>
    <t>APERROTT</t>
  </si>
  <si>
    <t xml:space="preserve">alessio.perrotta@capgemini.com </t>
  </si>
  <si>
    <t>- Red Hat Certified specialist in openshift application development
- Professional Scrum Developer I
- GCP Professional Cloud Architect
- GCC Professional Cloud Developer
- Mongodb SI Associate Certification
- Mongodb SI Architect Certification
- Oracle Certified Professional, Java SE 7 Programmer
- Oracle Certified Associate, Java SE 7 Programmer
- Oracle Certified Expert, Java EE 6 Web Services Developer
- Oracle Certified Expert, Java EE 6 Enterprise JavaBeans Developer</t>
  </si>
  <si>
    <t>PF13Q0BD</t>
  </si>
  <si>
    <t>LIT004801</t>
  </si>
  <si>
    <t>3C-18-A0-CD-EA-53</t>
  </si>
  <si>
    <t>LIT-5CG4090SHL</t>
  </si>
  <si>
    <t>AMD Ryzen 5 PRO 7540U w/ Radeon 740M Graphics     3.20 GHz</t>
  </si>
  <si>
    <t>16,0 GB (15,3 GB usable)</t>
  </si>
  <si>
    <t>BC836FAB-D4B8-4CAB-8997-6CBD0C2B7271</t>
  </si>
  <si>
    <t>00331-10000-00001-AA376</t>
  </si>
  <si>
    <t>07/‎06/‎2024</t>
  </si>
  <si>
    <t>ON HOLD</t>
  </si>
  <si>
    <t>CAP3HJ9</t>
  </si>
  <si>
    <t>Mele Annamaria Leonarda</t>
  </si>
  <si>
    <t>Integrazione e TRASPORTI</t>
  </si>
  <si>
    <t>AFU</t>
  </si>
  <si>
    <t>ANMELE</t>
  </si>
  <si>
    <t>annamaria.mele@capgemini.com</t>
  </si>
  <si>
    <t>5CG1430S76</t>
  </si>
  <si>
    <t>LIT009750</t>
  </si>
  <si>
    <t>44-E5-17-29-CD-EA</t>
  </si>
  <si>
    <t>C02DA010-D7C5-4DF1-8848-EFF1409078A1</t>
  </si>
  <si>
    <t>00331-10000-00001-AA494</t>
  </si>
  <si>
    <t>26/‎10/‎2023</t>
  </si>
  <si>
    <t>22631.5335</t>
  </si>
  <si>
    <t>Windows Feature Experience Pack 1000.22700.1081.0</t>
  </si>
  <si>
    <t>DGS3ISP</t>
  </si>
  <si>
    <t>Vitale Antonio</t>
  </si>
  <si>
    <t>DEV</t>
  </si>
  <si>
    <t>ABL_C&amp;CA MICROSOFT</t>
  </si>
  <si>
    <t>ANTVITAL</t>
  </si>
  <si>
    <t>antonio.vitale@capgemini.com</t>
  </si>
  <si>
    <t>5CG2191HX8</t>
  </si>
  <si>
    <t>ITLIK1710001855</t>
  </si>
  <si>
    <t>70-A8-D3-5F-25-30</t>
  </si>
  <si>
    <t>4F7E9B24-7821-42E1-9C62-58B60D781324</t>
  </si>
  <si>
    <t>00331-10000-00001-AA987</t>
  </si>
  <si>
    <t>26/‎02/‎2024</t>
  </si>
  <si>
    <t>CAP3XTY</t>
  </si>
  <si>
    <t>Pistis Giulio</t>
  </si>
  <si>
    <t>ABL_PBS SAP</t>
  </si>
  <si>
    <t>GPISTIS</t>
  </si>
  <si>
    <t>giulio.pistis@capgemini.com</t>
  </si>
  <si>
    <t>5CG1346978</t>
  </si>
  <si>
    <t>LIT5CG1346978</t>
  </si>
  <si>
    <t>F4-4E-E3-2A-55-02</t>
  </si>
  <si>
    <t>LIT-5CG1346978</t>
  </si>
  <si>
    <t>155EF870-BEE4-477D-A951-EDC7B013C1AD</t>
  </si>
  <si>
    <t>00331-10000-00001-AA462</t>
  </si>
  <si>
    <t>12/‎09/‎2023</t>
  </si>
  <si>
    <t>Roma - Aldobrandeschi</t>
  </si>
  <si>
    <t>CAP3Y7E</t>
  </si>
  <si>
    <t>Pallotti Silvia</t>
  </si>
  <si>
    <t>Tracciatura NAZIONALE</t>
  </si>
  <si>
    <t>FMS - AFU</t>
  </si>
  <si>
    <t>FMS / SGT</t>
  </si>
  <si>
    <t>ABL_C&amp;CA JAVA &amp; OPENSOURCE</t>
  </si>
  <si>
    <t>SIPALLOT</t>
  </si>
  <si>
    <t xml:space="preserve">silvia.pallotti@capgemini.com </t>
  </si>
  <si>
    <t>5CG2222M17</t>
  </si>
  <si>
    <t>ITLIK1710001349</t>
  </si>
  <si>
    <t>30-03-C8-95-3E-1D</t>
  </si>
  <si>
    <t>LIT-5CG2191JY5</t>
  </si>
  <si>
    <t>00331-10000-00001-AA244</t>
  </si>
  <si>
    <t>     Windows 11 Pro</t>
  </si>
  <si>
    <t>‎31/‎12/‎2024</t>
  </si>
  <si>
    <t>EXTA06Y</t>
  </si>
  <si>
    <t>Belli Filippo</t>
  </si>
  <si>
    <t>Tracciatura INTERNAZIONALE</t>
  </si>
  <si>
    <t>SGT / MAILBOX</t>
  </si>
  <si>
    <t>FBELLI</t>
  </si>
  <si>
    <t>filippo.belli@capgemini.com</t>
  </si>
  <si>
    <t>5CG20446K5</t>
  </si>
  <si>
    <t>ITLIK6066000241</t>
  </si>
  <si>
    <t>F0-B6-1E-9A-C0-1D</t>
  </si>
  <si>
    <t>D0466357-D691-4284-AB0A-1E15FF1B2A04</t>
  </si>
  <si>
    <t>00331-10000-00001-AA222</t>
  </si>
  <si>
    <t>EXTA058</t>
  </si>
  <si>
    <t>Del Vecchio Gianluigi</t>
  </si>
  <si>
    <t>Data LAKE Tracciatura</t>
  </si>
  <si>
    <t>GDELVECC</t>
  </si>
  <si>
    <t>gianluigi.delvecchio@capgemini.com</t>
  </si>
  <si>
    <t>- AWS Certified Solutions Architect – Associate 
- CDP Certified Generalist
- L1 Certified Architect (certificazione interna Capgemini)
- HDP Certified Developer</t>
  </si>
  <si>
    <t>5CG3376166</t>
  </si>
  <si>
    <t>ITLIK1710002691</t>
  </si>
  <si>
    <t>40-1A-58-8B-FC-3A</t>
  </si>
  <si>
    <t>00331-10000-00001-AA281</t>
  </si>
  <si>
    <t>CAP3RR0</t>
  </si>
  <si>
    <t>Mallamaci Riccardo Francesco</t>
  </si>
  <si>
    <t>RMALLAMA</t>
  </si>
  <si>
    <t>riccardo.mallamaci@capgemini.com</t>
  </si>
  <si>
    <t xml:space="preserve">-AWS Certified Developer – Associate 
-AWS Certified Solutions Architect – Associate </t>
  </si>
  <si>
    <t>5CG3376183</t>
  </si>
  <si>
    <t>ITLIK1710002659</t>
  </si>
  <si>
    <t>40-1A-58-8B-E5-D0</t>
  </si>
  <si>
    <t>16,0 GB (15,3 GB utilizzabile)</t>
  </si>
  <si>
    <t>00331-10000-00001-AA274</t>
  </si>
  <si>
    <t>04/‎12/‎2023</t>
  </si>
  <si>
    <t>CAP3RD6</t>
  </si>
  <si>
    <t>Steriti Maria Felicia</t>
  </si>
  <si>
    <t>MSTERITI</t>
  </si>
  <si>
    <t>maria.steriti@capgemini.com</t>
  </si>
  <si>
    <t>5CG2191JXM</t>
  </si>
  <si>
    <t>ITLIK1710001771</t>
  </si>
  <si>
    <t>70-A8-D3-5F-24-EA</t>
  </si>
  <si>
    <t>F67EC850-5ADA-497D-9F53-D21D1EA8346D</t>
  </si>
  <si>
    <t>00331-10000-00001-AA389</t>
  </si>
  <si>
    <t>‎20/‎03/‎2024</t>
  </si>
  <si>
    <t xml:space="preserve">CAP3XTX </t>
  </si>
  <si>
    <t>Tomo Davide</t>
  </si>
  <si>
    <t>DATOMO</t>
  </si>
  <si>
    <t>davide.tomo@capgemini.com</t>
  </si>
  <si>
    <t>H2W64M3</t>
  </si>
  <si>
    <t>ITLIK1710000274</t>
  </si>
  <si>
    <t>20-C1-9B-BF-E3-4D</t>
  </si>
  <si>
    <t>11th Gen Intel(R) Core(TM) i5-1145G7 @ 2.60GHz   1.50 GHz</t>
  </si>
  <si>
    <t>16,0 GB (15,4 GB utilizzabile)</t>
  </si>
  <si>
    <t>00331-10000-00001-AA202</t>
  </si>
  <si>
    <t>24/‎01/‎2024</t>
  </si>
  <si>
    <t>EXTA1RF</t>
  </si>
  <si>
    <t>Grazioli Alessio</t>
  </si>
  <si>
    <t>ALGRAZIO</t>
  </si>
  <si>
    <t>alessio.grazioli@capgemini.com</t>
  </si>
  <si>
    <t xml:space="preserve">-Confluent Certified Developer for Apache Kafka </t>
  </si>
  <si>
    <t>5CG3422PCK</t>
  </si>
  <si>
    <t>ITLIK1710002868</t>
  </si>
  <si>
    <t>90-65-84-8B-D8-5F</t>
  </si>
  <si>
    <t>00331-10000-00001-AA837</t>
  </si>
  <si>
    <t>06/‎12/‎2023</t>
  </si>
  <si>
    <t>FIN3FG0</t>
  </si>
  <si>
    <t>De Santis Dario</t>
  </si>
  <si>
    <t>DARDESAN</t>
  </si>
  <si>
    <t>dario.de-santis@capgemini.com</t>
  </si>
  <si>
    <t>- Certified Kubernetes Application Developer
Redis Certified Developer
MongoDB Certified Developer Associate Level
MongoDB SI Associate
MongoDB SI Architect
'- AWS Partner : Generative AI Essentials (Business)
- Oracle Certified Associate, Java SE 7 Programmer
- Oracle Certified Professional, Java SE 7 Programmer
- Oracle Certified Expert, Java EE 6 Web Component Developer
- Oracle Certified Expert, Java EE 6 Web Services Developer
- Oracle Certified Expert, Java EE 6 Persistence API Developer
- Oracle Cloud Infrastructure 2021 Certified Architect Associate</t>
  </si>
  <si>
    <t>5CG3465Q50</t>
  </si>
  <si>
    <t>ITLIK1710003140</t>
  </si>
  <si>
    <t>40-1A-58-C2-C5-D1</t>
  </si>
  <si>
    <t>16.0 GB (15.3 GB usable)</t>
  </si>
  <si>
    <t>00331-10000-00001-AA765</t>
  </si>
  <si>
    <t>1/‎18/‎2024</t>
  </si>
  <si>
    <t>EGN3FM9</t>
  </si>
  <si>
    <t>Cuozzo Maddalena</t>
  </si>
  <si>
    <t>MACUOZZO</t>
  </si>
  <si>
    <t xml:space="preserve">maddalena.cuozzo@capgemini.com </t>
  </si>
  <si>
    <t>- L'ISTQB® Certified Tester - livello FOUNDATION</t>
  </si>
  <si>
    <t>5CG1334PSH</t>
  </si>
  <si>
    <t>58-6C-25-2D-9D-E4</t>
  </si>
  <si>
    <t>LIT-5CG1334PSH</t>
  </si>
  <si>
    <t>A9A9FF9F-69DC-46BC-80B7-AA902B0595AB</t>
  </si>
  <si>
    <t>00330-53833-99315-AAOEM</t>
  </si>
  <si>
    <t>21/‎03/‎2024</t>
  </si>
  <si>
    <t>ELS359S</t>
  </si>
  <si>
    <t>Condivisione</t>
  </si>
  <si>
    <t>Di Palma Marco</t>
  </si>
  <si>
    <t>IPER Suite + ILP</t>
  </si>
  <si>
    <t>MADIPALM</t>
  </si>
  <si>
    <t xml:space="preserve">marco.di-palma@capgemini.com </t>
  </si>
  <si>
    <t>5CG20446V1</t>
  </si>
  <si>
    <t>ITLIK6066000884</t>
  </si>
  <si>
    <t>F0-57-A6-AD-71-FE</t>
  </si>
  <si>
    <t>8121E14E-319B-4783-9226-87F425C1FB56</t>
  </si>
  <si>
    <t>00330-80000-00000-AA841</t>
  </si>
  <si>
    <t>24H2</t>
  </si>
  <si>
    <t>06/‎03/‎2025</t>
  </si>
  <si>
    <t>26100.3775</t>
  </si>
  <si>
    <t>Windows Feature Experience Pack 1000.26100.66.0</t>
  </si>
  <si>
    <t>CAP3VTX</t>
  </si>
  <si>
    <t>TEPI FRANCK LUDOVIC</t>
  </si>
  <si>
    <t>FE + BE -&gt; ILP + Sorting Controller</t>
  </si>
  <si>
    <t xml:space="preserve">FRLTEPI </t>
  </si>
  <si>
    <t xml:space="preserve">franckludovic.tepi2@capgemini.com </t>
  </si>
  <si>
    <t>5CG204445S</t>
  </si>
  <si>
    <t>ITLIK6066000762</t>
  </si>
  <si>
    <t>F0-B6-1E-A5-3B-C4</t>
  </si>
  <si>
    <t>16,0 GB (15,7 GB utilizzabile)</t>
  </si>
  <si>
    <t>00331-10000-00001-AA131</t>
  </si>
  <si>
    <t>13/‎09/‎2023</t>
  </si>
  <si>
    <t>Torino - Drosso</t>
  </si>
  <si>
    <t>EXTA0JE</t>
  </si>
  <si>
    <t>Ferrentino Tatiana</t>
  </si>
  <si>
    <t>NPSO e T&amp;T (inizio)</t>
  </si>
  <si>
    <t>NPSO / T&amp;T</t>
  </si>
  <si>
    <t>TFERRENT</t>
  </si>
  <si>
    <t>tatiana.ferrentino@capgemini.com</t>
  </si>
  <si>
    <t>5CG90901QG</t>
  </si>
  <si>
    <t>LIT006112</t>
  </si>
  <si>
    <t>D8-F2-CA-9B-53-43</t>
  </si>
  <si>
    <t>Intel(R) Core(TM) i5-8350U CPU @ 1.70GHz   1.90 GHz</t>
  </si>
  <si>
    <t>8,00 GB (7,85 GB usable)</t>
  </si>
  <si>
    <t>DE6014C5-E72B-40B2-9B63-D99D81B6B5DD</t>
  </si>
  <si>
    <t>00331-10000-00001-AA967</t>
  </si>
  <si>
    <t>12/‎03/‎2024</t>
  </si>
  <si>
    <t>DGS3FYO</t>
  </si>
  <si>
    <t>Romondini Emiliano</t>
  </si>
  <si>
    <t>T&amp;T + silk</t>
  </si>
  <si>
    <t>T&amp;T</t>
  </si>
  <si>
    <t>ABL_TES TESTING</t>
  </si>
  <si>
    <t>EROMONDI</t>
  </si>
  <si>
    <t xml:space="preserve">emiliano.romondini@capgemini.com </t>
  </si>
  <si>
    <t>5CG2205TB4</t>
  </si>
  <si>
    <t>ITLIK1710001180</t>
  </si>
  <si>
    <t>30-03-C8-41-2D-4C</t>
  </si>
  <si>
    <t>AMD Ryzen 5 PRO 5650U with Radeon Graphics        2.30 GHz</t>
  </si>
  <si>
    <t>00331-10000-00001-AA649</t>
  </si>
  <si>
    <t>11/‎10/‎2023</t>
  </si>
  <si>
    <t>TIY34ZY</t>
  </si>
  <si>
    <t>Palladini Giulio</t>
  </si>
  <si>
    <t>T&amp;T, Tracciatura grandi clienti, palmare e SDA vs Palmare</t>
  </si>
  <si>
    <t>GIPALLAD</t>
  </si>
  <si>
    <t xml:space="preserve">giulio.palladini@capgemini.com </t>
  </si>
  <si>
    <t>5CG93671J7</t>
  </si>
  <si>
    <t>LIT5CG93671J7</t>
  </si>
  <si>
    <t>50-EB-71-8F-0D-90</t>
  </si>
  <si>
    <t>lit-5cg93671j7</t>
  </si>
  <si>
    <t>Intel(R) Core(TM) i5-8365U CPU @ 1.60GHz   1.90 GHz</t>
  </si>
  <si>
    <t>8,00 GB (7,81 GB utilizzabile)</t>
  </si>
  <si>
    <t>00331-10000-00001-AA499</t>
  </si>
  <si>
    <t>08/‎04/‎2025</t>
  </si>
  <si>
    <t>26100.4061</t>
  </si>
  <si>
    <t>Pacchetto di esperienze per funzionalità Windows 1000.26100.84.0</t>
  </si>
  <si>
    <t>fin3era</t>
  </si>
  <si>
    <t>Curiel Danilo</t>
  </si>
  <si>
    <t>internazione (SP1 , Iper, Iper suite e  ILP)</t>
  </si>
  <si>
    <t>DANCURIE</t>
  </si>
  <si>
    <t xml:space="preserve">danilo.curiel@capgemini.com </t>
  </si>
  <si>
    <t>5CG2044428</t>
  </si>
  <si>
    <t>ITLIK6066001140</t>
  </si>
  <si>
    <t>F0-B6-1E-9D-70-15</t>
  </si>
  <si>
    <t>TOP3EUB</t>
  </si>
  <si>
    <t>Abrami Pietro</t>
  </si>
  <si>
    <t>PABRAMI</t>
  </si>
  <si>
    <t xml:space="preserve">pietro.abrami@capgemini.com </t>
  </si>
  <si>
    <t>5CG2205TBP</t>
  </si>
  <si>
    <t>ITLIK1710001161</t>
  </si>
  <si>
    <t>30-03-C8-41-10-13</t>
  </si>
  <si>
    <t>CE87586B-165B-4C8E-9F8D-DCB487835394</t>
  </si>
  <si>
    <t>00331-10000-00001-AA874</t>
  </si>
  <si>
    <t>etm36rp</t>
  </si>
  <si>
    <t>Testoni Gianluca</t>
  </si>
  <si>
    <t>Corteselli Vincenzo</t>
  </si>
  <si>
    <t>Certificazione</t>
  </si>
  <si>
    <t>ABL_C&amp;CA DEVOPS &amp; PLATFORM</t>
  </si>
  <si>
    <t>VCORTESE</t>
  </si>
  <si>
    <t>LIT-5CG1469DDD</t>
  </si>
  <si>
    <t>A6E4BCC0-7734-40EC-88CE-4C4B45C75CF0</t>
  </si>
  <si>
    <t>00330-54061-97900-AAOEM</t>
  </si>
  <si>
    <t>‎05/‎03/‎2025</t>
  </si>
  <si>
    <t>Pacchetto di esperienze per funzionalità Windows 1000.26100.66.0</t>
  </si>
  <si>
    <t>act3ib3</t>
  </si>
  <si>
    <t>Tariffa giornalera</t>
  </si>
  <si>
    <t>Tariffa mensile (20 gg)</t>
  </si>
  <si>
    <t>spostamento di release</t>
  </si>
  <si>
    <t>DESTAFFING</t>
  </si>
  <si>
    <t>Cerbone Giuseppe</t>
  </si>
  <si>
    <t>Rilascio il 17/07/23</t>
  </si>
  <si>
    <t>Rimosso da Teams</t>
  </si>
  <si>
    <t>ok</t>
  </si>
  <si>
    <t>Giannelli Riccardo</t>
  </si>
  <si>
    <t>AFU Fabbri - Sharabile</t>
  </si>
  <si>
    <t>Paolo Lamanna dal 09/10/23</t>
  </si>
  <si>
    <t>BAM1</t>
  </si>
  <si>
    <t>Febbraro Antonio</t>
  </si>
  <si>
    <t>AFU Fabbri (lavora x Divise)</t>
  </si>
  <si>
    <t>AAL2</t>
  </si>
  <si>
    <t>AMBITO</t>
  </si>
  <si>
    <t>TARIFFA</t>
  </si>
  <si>
    <t>N° MESI</t>
  </si>
  <si>
    <t>RECUPERO 2025</t>
  </si>
  <si>
    <t>TOTALE PARZIALE</t>
  </si>
  <si>
    <t>DA ORDINARE</t>
  </si>
  <si>
    <t>SW</t>
  </si>
  <si>
    <t>R.26_03</t>
  </si>
  <si>
    <t>R.26_05</t>
  </si>
  <si>
    <t>R.26_07</t>
  </si>
  <si>
    <t>R.26_10</t>
  </si>
  <si>
    <t>Contratto</t>
  </si>
  <si>
    <t>BASE</t>
  </si>
  <si>
    <t>Proroga 7</t>
  </si>
  <si>
    <t>Proroga 8</t>
  </si>
  <si>
    <t>Proroga 9</t>
  </si>
  <si>
    <t>Proroga 10</t>
  </si>
  <si>
    <t>GoTo</t>
  </si>
  <si>
    <t>X ORDINE</t>
  </si>
  <si>
    <t>Release</t>
  </si>
  <si>
    <t>Applicativo</t>
  </si>
  <si>
    <t>APPLICATIVO</t>
  </si>
  <si>
    <t>N° RDA</t>
  </si>
  <si>
    <t>Art.</t>
  </si>
  <si>
    <t>AP</t>
  </si>
  <si>
    <t>Quantità</t>
  </si>
  <si>
    <t>Prezzo Netto</t>
  </si>
  <si>
    <t>Valore Posizione</t>
  </si>
  <si>
    <t>Importo Fatturabile</t>
  </si>
  <si>
    <t>N °Fattura</t>
  </si>
  <si>
    <t>Data Fattura</t>
  </si>
  <si>
    <t>Totale Fatturato</t>
  </si>
  <si>
    <t>Residuo Fatturabile</t>
  </si>
  <si>
    <t>Anno RDA</t>
  </si>
  <si>
    <t>Quote</t>
  </si>
  <si>
    <t>AT_ID</t>
  </si>
  <si>
    <t>ODA</t>
  </si>
  <si>
    <t>Mese</t>
  </si>
  <si>
    <t>BC Rif</t>
  </si>
  <si>
    <t>Numero</t>
  </si>
  <si>
    <t>Differenza con approvato</t>
  </si>
  <si>
    <t>Da avanzare</t>
  </si>
  <si>
    <t>RELEASE DI BUSINESS</t>
  </si>
  <si>
    <t>release</t>
  </si>
  <si>
    <t>OTE Avvio</t>
  </si>
  <si>
    <t>OTE consegna</t>
  </si>
  <si>
    <t>OTE approvazione</t>
  </si>
  <si>
    <t>#wk</t>
  </si>
  <si>
    <t>condivisione ICD/ approvazione BDG</t>
  </si>
  <si>
    <t>Sviluppo inizio</t>
  </si>
  <si>
    <t>Sviluppo fine</t>
  </si>
  <si>
    <t>Sviluppo #wk</t>
  </si>
  <si>
    <t>Collaudo Funzionale inizio</t>
  </si>
  <si>
    <t>Collaudo Funzionale fine</t>
  </si>
  <si>
    <t>Collaudo Funzionale #wk</t>
  </si>
  <si>
    <t>Collaudo E2E Inizio</t>
  </si>
  <si>
    <t>Collaudo E2E Fine</t>
  </si>
  <si>
    <t>Collaudo E2E Inizio #wk</t>
  </si>
  <si>
    <t>UAT Inizio</t>
  </si>
  <si>
    <t>UAT Fine</t>
  </si>
  <si>
    <t>UAT #wk</t>
  </si>
  <si>
    <t>Certificazione Inizio</t>
  </si>
  <si>
    <t>Certificazione Fine</t>
  </si>
  <si>
    <t>Certificazione #wk</t>
  </si>
  <si>
    <t>pass in prod</t>
  </si>
  <si>
    <t>disp al cliente</t>
  </si>
  <si>
    <t>Totale Release</t>
  </si>
  <si>
    <t>Imp. Lordo</t>
  </si>
  <si>
    <t>Importo Netto</t>
  </si>
  <si>
    <t>Avanzato</t>
  </si>
  <si>
    <t>Da Avanzare</t>
  </si>
  <si>
    <t>ADEMPIMENTI</t>
  </si>
  <si>
    <t>MONITORAGGIO TOW</t>
  </si>
  <si>
    <t>Listino</t>
  </si>
  <si>
    <t>BUONI DI CONSEGNA (ordinato)</t>
  </si>
  <si>
    <t>listino2</t>
  </si>
  <si>
    <t>C.I.G.</t>
  </si>
  <si>
    <t>Rif. Contratto</t>
  </si>
  <si>
    <t>CONTRATTO</t>
  </si>
  <si>
    <t>RIF. Contratto</t>
  </si>
  <si>
    <t>Consuntivo</t>
  </si>
  <si>
    <t xml:space="preserve">Collaudo </t>
  </si>
  <si>
    <t>IET</t>
  </si>
  <si>
    <t>PROIEZIONE</t>
  </si>
  <si>
    <t>TOT. PARZIALE</t>
  </si>
  <si>
    <t>VERBALE ACCETTAZIONE</t>
  </si>
  <si>
    <t>FATTURA</t>
  </si>
  <si>
    <t>SW approvato</t>
  </si>
  <si>
    <t>FCST + Subco (certo)</t>
  </si>
  <si>
    <t>FCST Subco (unknown)</t>
  </si>
  <si>
    <t xml:space="preserve">RIF. Contratto </t>
  </si>
  <si>
    <t>Mesi \ Anni</t>
  </si>
  <si>
    <t>T&amp;T Repo</t>
  </si>
  <si>
    <t>T&amp;T Repo, WFM e SAD e consolidatore</t>
  </si>
  <si>
    <t>Anno Competenza</t>
  </si>
  <si>
    <t>_2026</t>
  </si>
  <si>
    <t>_2027</t>
  </si>
  <si>
    <t>_2028</t>
  </si>
  <si>
    <t>_2029</t>
  </si>
  <si>
    <t>Anno competenza</t>
  </si>
  <si>
    <t>ILP / IPER / IPER SUITE / SCO</t>
  </si>
  <si>
    <t xml:space="preserve">ID  </t>
  </si>
  <si>
    <t xml:space="preserve">Ambito driver </t>
  </si>
  <si>
    <t xml:space="preserve">Nome Driver </t>
  </si>
  <si>
    <t xml:space="preserve">Semplice </t>
  </si>
  <si>
    <t xml:space="preserve">Medio </t>
  </si>
  <si>
    <t xml:space="preserve">Complesso </t>
  </si>
  <si>
    <t xml:space="preserve">Frontend </t>
  </si>
  <si>
    <t xml:space="preserve">Realizzazione Single Page Application </t>
  </si>
  <si>
    <t xml:space="preserve">Backend </t>
  </si>
  <si>
    <t xml:space="preserve">Servizio/API/Microservizio </t>
  </si>
  <si>
    <t xml:space="preserve">Database </t>
  </si>
  <si>
    <t xml:space="preserve">Realizzazione schema (DDL) </t>
  </si>
  <si>
    <t xml:space="preserve">Realizzazione stored procedure, script SQL o equivalente </t>
  </si>
  <si>
    <t xml:space="preserve">Data platform </t>
  </si>
  <si>
    <t xml:space="preserve">Procedure di caricamento, elaborazione e trasformazione dei dati (ETL) </t>
  </si>
  <si>
    <t xml:space="preserve">Tracciatura - Configurazione (Prodotto, Servizio, altro)  </t>
  </si>
  <si>
    <t xml:space="preserve">  </t>
  </si>
  <si>
    <t xml:space="preserve">Tracciatura - Shell Script File-System HDFS e Gestione Job </t>
  </si>
  <si>
    <t xml:space="preserve">Tracciatura - Workflow Oozie </t>
  </si>
  <si>
    <t xml:space="preserve">Tracciatura - Coordinator Oozie </t>
  </si>
  <si>
    <t xml:space="preserve">Job Spark Streaming e Batch </t>
  </si>
  <si>
    <t xml:space="preserve">Tracciatura - Logistica - Job / Template Ni-Fi e Job pubblicazione su SOLr </t>
  </si>
  <si>
    <t xml:space="preserve">Tracciatura - Collection / Shard SOLr </t>
  </si>
  <si>
    <t xml:space="preserve">Tracciatura - Request Handler SOLr </t>
  </si>
  <si>
    <t xml:space="preserve">SAP </t>
  </si>
  <si>
    <t xml:space="preserve">SAP Custom using Dialog (module pool) </t>
  </si>
  <si>
    <t xml:space="preserve">SAP STD Enhancement </t>
  </si>
  <si>
    <t xml:space="preserve">Logistica - Pipeline (Oracle OSB)  </t>
  </si>
  <si>
    <t xml:space="preserve">Logistica - Bridge (JBOSS, WLS) </t>
  </si>
  <si>
    <t xml:space="preserve">€ -  </t>
  </si>
  <si>
    <t xml:space="preserve">€ - </t>
  </si>
  <si>
    <t xml:space="preserve">Logistica - Creazione BPEL </t>
  </si>
  <si>
    <t xml:space="preserve">Bapi </t>
  </si>
  <si>
    <t xml:space="preserve">Flussi Batch Inbound </t>
  </si>
  <si>
    <t xml:space="preserve">Flussi Batch Outbound </t>
  </si>
  <si>
    <t xml:space="preserve">Tabella/Strutture </t>
  </si>
  <si>
    <t xml:space="preserve">Customizing </t>
  </si>
  <si>
    <t xml:space="preserve">Definizione Ruoli/Profili ABAP </t>
  </si>
  <si>
    <t xml:space="preserve">Consumer </t>
  </si>
  <si>
    <t xml:space="preserve">Producer </t>
  </si>
  <si>
    <t xml:space="preserve">Creazione WS inbound (SOAP o Rest) </t>
  </si>
  <si>
    <t>TBD</t>
  </si>
  <si>
    <t>Porting Gen 3</t>
  </si>
  <si>
    <t>% sconto</t>
  </si>
  <si>
    <t>NO</t>
  </si>
  <si>
    <t>Residui Accettato</t>
  </si>
  <si>
    <t>Residui Ordinato</t>
  </si>
  <si>
    <t>ABL_C&amp;CA CLOUD NATIVE HS</t>
  </si>
  <si>
    <t>D03R1</t>
  </si>
  <si>
    <t>IT01C00039</t>
  </si>
  <si>
    <t>D04G1</t>
  </si>
  <si>
    <t>IT01C00080</t>
  </si>
  <si>
    <t>D04C1</t>
  </si>
  <si>
    <t>IT01C00074</t>
  </si>
  <si>
    <t>C04O1</t>
  </si>
  <si>
    <t>IT01C00229</t>
  </si>
  <si>
    <t>C04C2</t>
  </si>
  <si>
    <t>C03T1</t>
  </si>
  <si>
    <t>IT01C00033</t>
  </si>
  <si>
    <t>A03Y5</t>
  </si>
  <si>
    <t>IT01C00038</t>
  </si>
  <si>
    <t>A04Q5</t>
  </si>
  <si>
    <t>IT01C00232</t>
  </si>
  <si>
    <t>A03X5</t>
  </si>
  <si>
    <t>IT01C00037</t>
  </si>
  <si>
    <t>D09U1</t>
  </si>
  <si>
    <t>IT01C00162</t>
  </si>
  <si>
    <t>ABL_ID_PRACTICE</t>
  </si>
  <si>
    <t>C03X1</t>
  </si>
  <si>
    <t>C09U1</t>
  </si>
  <si>
    <t>C03X2</t>
  </si>
  <si>
    <t>B03X1</t>
  </si>
  <si>
    <t>A03T5</t>
  </si>
  <si>
    <t>A04S5</t>
  </si>
  <si>
    <t>IT01C00285</t>
  </si>
  <si>
    <t>B04S1</t>
  </si>
  <si>
    <t>C03S1</t>
  </si>
  <si>
    <t>IT01C00032</t>
  </si>
  <si>
    <t>Interventi Vari</t>
  </si>
  <si>
    <t>Subco</t>
  </si>
  <si>
    <t>Logica Informatica</t>
  </si>
  <si>
    <t>Levia Hub</t>
  </si>
  <si>
    <t xml:space="preserve">Tabella SLA - Lotto 1 e 2 – Servizi a Task </t>
  </si>
  <si>
    <t xml:space="preserve">N° </t>
  </si>
  <si>
    <t xml:space="preserve">Metrica </t>
  </si>
  <si>
    <t xml:space="preserve">Misura </t>
  </si>
  <si>
    <t xml:space="preserve">Soglia attesa </t>
  </si>
  <si>
    <t xml:space="preserve">Modalità di misurazione </t>
  </si>
  <si>
    <t>Frequenza di rilevazione</t>
  </si>
  <si>
    <t xml:space="preserve">Peso relativo SLA per TOW </t>
  </si>
  <si>
    <t>Penali</t>
  </si>
  <si>
    <t xml:space="preserve">TOW02.1 </t>
  </si>
  <si>
    <t xml:space="preserve">TOW02.2 e TOW02.5 </t>
  </si>
  <si>
    <t xml:space="preserve">TOW02.3 </t>
  </si>
  <si>
    <t xml:space="preserve">TOW02.4 </t>
  </si>
  <si>
    <t xml:space="preserve">SLA1 </t>
  </si>
  <si>
    <t xml:space="preserve">Completamento realizzazione della soluzione </t>
  </si>
  <si>
    <t xml:space="preserve">Completamento della fase di realizzazione della soluzione (TOW 01.2 e TOW02.2) nei tempi previsti dal piano di progetto </t>
  </si>
  <si>
    <t xml:space="preserve">100% on time </t>
  </si>
  <si>
    <t xml:space="preserve">Dati rilevati manualmente </t>
  </si>
  <si>
    <t xml:space="preserve">Per WorkPackage </t>
  </si>
  <si>
    <t xml:space="preserve"> </t>
  </si>
  <si>
    <t xml:space="preserve">SLA2 </t>
  </si>
  <si>
    <t xml:space="preserve">Indice di rischiosità del codice applicativo </t>
  </si>
  <si>
    <t xml:space="preserve">Analisi del codice come da Linee Guida contenute nel Documento LG_SMA_VEQSI_01_v5.5 </t>
  </si>
  <si>
    <t xml:space="preserve">≤ 3 </t>
  </si>
  <si>
    <t xml:space="preserve">Dati rilevati tramite tool automatici e/o manualmente </t>
  </si>
  <si>
    <t xml:space="preserve">SLA3 </t>
  </si>
  <si>
    <t xml:space="preserve">Difettosità al collaudo  </t>
  </si>
  <si>
    <t xml:space="preserve">Difettosità in termini di tasso di fallimento dei casi di test al loro primo riscontro/risultato/esito registrato, rilevato nel corso della prima esecuzione del collaudo funzionale. Si ottiene come % di casi di test falliti alla prima esecuzione rispetto al totale dei casi di test previsti per  il collaudo funzionale </t>
  </si>
  <si>
    <t xml:space="preserve">N° anomalie Bloccanti rilevate al collaudo funzionale/ N° totale dei casi di test previsti al collaudo funzionale &lt; 2% o N° anomalie NON Bloccanti  rilevate al collaudo funzionale/ N° totale dei casi di test previsti al collaudo funzionale &lt; 5% </t>
  </si>
  <si>
    <t xml:space="preserve">Dati rilevati tramite tool automatico (Strumento di Test Management) e/o manualmente  </t>
  </si>
  <si>
    <t xml:space="preserve">Complessità ciclomatica massima di modulo </t>
  </si>
  <si>
    <t xml:space="preserve">Valore massimo della complessità ciclomatica di ciascun modulo rilasciato </t>
  </si>
  <si>
    <t xml:space="preserve">≤ 20 </t>
  </si>
  <si>
    <t xml:space="preserve">Dati rilevati tramite tool automatico e/o manualmente </t>
  </si>
  <si>
    <t xml:space="preserve">SLA5 </t>
  </si>
  <si>
    <t xml:space="preserve">Qualità della documentazione </t>
  </si>
  <si>
    <t xml:space="preserve">Percentuale di deliverable documentali accettati in prima stesura sul totale deliverable documentali richiesti nell’ambito di un workpackage </t>
  </si>
  <si>
    <t xml:space="preserve">Deliverable documentali accettati in prima stesura/ totale deliverable documentali richiesti ≥ 90% </t>
  </si>
  <si>
    <t xml:space="preserve">Tabella SLA - Lotto 1 e 2 - Servizi a Canone </t>
  </si>
  <si>
    <t xml:space="preserve">Frequenza di rilevazione </t>
  </si>
  <si>
    <t xml:space="preserve">Peso relativo SLA per TOW02.6 </t>
  </si>
  <si>
    <t xml:space="preserve">SLA7 </t>
  </si>
  <si>
    <t xml:space="preserve">Tempi di ripristino </t>
  </si>
  <si>
    <t xml:space="preserve">% di malfunzionamento di software applicativo in cui il ripristino è stato effettuato entro i tempi previsti rispetto al numero totale di malfunzionamenti (∑ n. malfunzionamenti  entro  tempi di ripristino/ n. totale malfunzionamenti) *100 </t>
  </si>
  <si>
    <t xml:space="preserve">≥ 95%  </t>
  </si>
  <si>
    <t xml:space="preserve">Trimestrale </t>
  </si>
  <si>
    <t xml:space="preserve">SLA8 </t>
  </si>
  <si>
    <t xml:space="preserve">Tempi di risoluzione </t>
  </si>
  <si>
    <t xml:space="preserve">% di malfunzionamento di software applicativo in cui la risoluzione sia stata effettuata entro i tempi previsti rispetto al numero totale di malfunzionamenti (∑ n. malfunzionamenti  entro  tempi di risoluzione/ n. totale malfunzionamenti) *100 </t>
  </si>
  <si>
    <t xml:space="preserve">SLA9 </t>
  </si>
  <si>
    <t xml:space="preserve">Malfunzionamenti </t>
  </si>
  <si>
    <t xml:space="preserve">Numero di malfunzionamenti </t>
  </si>
  <si>
    <t xml:space="preserve">VH = 1 
HG ≤ 2 
MD ≤ 3 
LW ≤ 5 </t>
  </si>
  <si>
    <t xml:space="preserve">TOTALE </t>
  </si>
  <si>
    <t xml:space="preserve">Indicatore </t>
  </si>
  <si>
    <t xml:space="preserve">Descrizione </t>
  </si>
  <si>
    <t xml:space="preserve">Parametro </t>
  </si>
  <si>
    <t xml:space="preserve">Completamento attività del work package </t>
  </si>
  <si>
    <t xml:space="preserve">Mancato rispetto dello SLA 1 per un  numero di WP superiore al 30% di quelli compresi nella release   </t>
  </si>
  <si>
    <t>Per Release</t>
  </si>
  <si>
    <t>5% del BC relativi alla soluzione oggetto del completamento</t>
  </si>
  <si>
    <t xml:space="preserve">N° anomalie Bloccanti rilevate al collaudo funzionale degli interventi in release / N° totale dei casi di test previsti al collaudo funzionale per gli interventi in release &lt; 2% o </t>
  </si>
  <si>
    <t>5% del BC relativo Work Package oggetto del difetto</t>
  </si>
  <si>
    <t xml:space="preserve">N° anomalie NON Bloccanti  rilevate al collaudo funzionale degli interventi in release/ N° totale dei casi di test previsti al collaudo funzionale per gli interventi in release &lt; 5% </t>
  </si>
  <si>
    <t xml:space="preserve">Regressione post rilascio </t>
  </si>
  <si>
    <t xml:space="preserve">Numero di malfunzionamenti, introdotti a seguito di nuovo rilascio su funzionalità preesistenti e già in esercizio, rilevati entro un trimestre dalla data del rilascio stesso &lt;1 </t>
  </si>
  <si>
    <t>Organizzazione del fornitore  - Organizzazione</t>
  </si>
  <si>
    <t xml:space="preserve">Mancata adozione del modello organizzativo proposto in sede di offerta tecnica dall'Impresa/RTI in termini di N. di risorse offerte e/o figure professionali e/o profili e/o modalità di interazione. </t>
  </si>
  <si>
    <t>2% dell'importo complessivo dell’Accordo Quadro</t>
  </si>
  <si>
    <r>
      <t>SLA 4</t>
    </r>
    <r>
      <rPr>
        <sz val="9"/>
        <color rgb="FFFF0000"/>
        <rFont val="Aptos Display"/>
        <family val="2"/>
        <scheme val="major"/>
      </rPr>
      <t xml:space="preserve"> </t>
    </r>
  </si>
  <si>
    <t>Indicatori di qualità</t>
  </si>
  <si>
    <t>FORNITURA - SISTEMI</t>
  </si>
  <si>
    <t>ORDINI - SISTEMI</t>
  </si>
  <si>
    <t>Data Check Poste</t>
  </si>
  <si>
    <t>Logistica sanitaria e offerta pharma_evolutive 2026</t>
  </si>
  <si>
    <t>Totale contratto</t>
  </si>
  <si>
    <t>2026 - FORNITURA</t>
  </si>
  <si>
    <t>2026 - ORDNI</t>
  </si>
  <si>
    <t>21/01 - stima con nuovo catalogo depositata in shared
19/01 - stima inviata a Poste</t>
  </si>
  <si>
    <t>Ordinati (RDA)</t>
  </si>
  <si>
    <t>04/02 - stima inviata a Poste</t>
  </si>
  <si>
    <t>Accollatari Fase2</t>
  </si>
  <si>
    <t>Belli</t>
  </si>
  <si>
    <t>Residuo</t>
  </si>
  <si>
    <t>Interventi spuri ITZ (fase 3)</t>
  </si>
  <si>
    <t>16/02 - stima inviata a Poste</t>
  </si>
  <si>
    <t>138512_F1</t>
  </si>
  <si>
    <t>138512_F2</t>
  </si>
  <si>
    <t>STEFANELLI MAURO (D03R1)</t>
  </si>
  <si>
    <t>FALO' STEFANO GIANLUCA (D04G1)</t>
  </si>
  <si>
    <t>FABBRI MAURIZIO (D04C1)</t>
  </si>
  <si>
    <t>RICCIARDI GIANNONI FRANCESCO (C04O1)</t>
  </si>
  <si>
    <t>PERROTTA ALESSIO (C04C2)</t>
  </si>
  <si>
    <t>MELE ANNAMARIA LEONARDA (C03T1)</t>
  </si>
  <si>
    <t>VITALE ANTONIO (A03Y5)</t>
  </si>
  <si>
    <t>PISTIS GIULIO (A04Q5)</t>
  </si>
  <si>
    <t>PALLOTTI SILVIA (A03X5)</t>
  </si>
  <si>
    <t>BELLI FILIPPO (A03X5)</t>
  </si>
  <si>
    <t>DEL VECCHIO GIANLUIGI (D09U1)</t>
  </si>
  <si>
    <t>MALLAMACI RICCARDO FRANCESCO (C03X1)</t>
  </si>
  <si>
    <t>STERITI MARIA FELICIA (C09U1)</t>
  </si>
  <si>
    <t>TOMO DAVIDE (A03X5)</t>
  </si>
  <si>
    <t>GRAZIOLI ALESSIO (C09U1)</t>
  </si>
  <si>
    <t>DE SANTIS DARIO (C03X2)</t>
  </si>
  <si>
    <t>CUOZZO MADDALENA (C03T1)</t>
  </si>
  <si>
    <t>DI PALMA MARCO (A03X5)</t>
  </si>
  <si>
    <t>TEPI FRANCK LUDOVIC (B03X1)</t>
  </si>
  <si>
    <t>FERRENTINO TATIANA (A03T5)</t>
  </si>
  <si>
    <t>ROMONDINI EMILIANO (A04S5)</t>
  </si>
  <si>
    <t>PALLADINI GIULIO (A04S5)</t>
  </si>
  <si>
    <t>CURIEL DANILO (B04S1)</t>
  </si>
  <si>
    <t>ABRAMI PIETRO (B04S1)</t>
  </si>
  <si>
    <t>CORTESELLI VINCENZO (C03S1)</t>
  </si>
  <si>
    <t>18/03 - approvata da Sugamiele (mail "R: TBD_IPER - CR su Dazi USA - Stima iniziativa")
11/02 - stima inviata a Poste</t>
  </si>
  <si>
    <t>Supplemento PDB per ritiro in sede diversa da quella certificata</t>
  </si>
  <si>
    <t>SUBCO DA FARE</t>
  </si>
  <si>
    <t>SEGUIMI</t>
  </si>
  <si>
    <t>Patch Portali Seguimi Post OAM</t>
  </si>
  <si>
    <t>task</t>
  </si>
  <si>
    <t>Canone</t>
  </si>
  <si>
    <t>Inibizione contenuto merce assicurata estera</t>
  </si>
  <si>
    <t>02/03 - stima inviata a Poste</t>
  </si>
  <si>
    <t>IT CHART</t>
  </si>
  <si>
    <t>03/03 - intervento eliminato in quanto applicativo non in perimetro Lotto 2
23/02 - stima inviata a Poste</t>
  </si>
  <si>
    <t>05/03 - approvata da Poste
04/03 - stima rivista al ribasso
20/02 - stima inviata a Poste</t>
  </si>
  <si>
    <t>R.27_03</t>
  </si>
  <si>
    <t>R.27_05</t>
  </si>
  <si>
    <t>R.27_07</t>
  </si>
  <si>
    <t>R.27_10</t>
  </si>
  <si>
    <t>HandlingFees Dogana</t>
  </si>
  <si>
    <t>THOR</t>
  </si>
  <si>
    <t>OP# 02538791</t>
  </si>
  <si>
    <t>OP# 02538791_1</t>
  </si>
  <si>
    <t>Interventi spuri ITZ (fase 4)</t>
  </si>
  <si>
    <t>Logistica sanitaria e offerta pharma (add on)</t>
  </si>
  <si>
    <t>Gara ENEL</t>
  </si>
  <si>
    <t>R.26.03 EXTRA</t>
  </si>
  <si>
    <t>Gestione FC Jolly</t>
  </si>
  <si>
    <t>2026_1342</t>
  </si>
  <si>
    <t>4490015980</t>
  </si>
  <si>
    <t>Gen-Giu 2026</t>
  </si>
  <si>
    <t>PRESIDIO_01</t>
  </si>
  <si>
    <t>PRESIDIO_01_Presidio</t>
  </si>
  <si>
    <t>1000262408</t>
  </si>
  <si>
    <t>TBD_SW</t>
  </si>
  <si>
    <t>TBD_COLL</t>
  </si>
  <si>
    <t>PRESIDIO</t>
  </si>
  <si>
    <t>143247_F3</t>
  </si>
  <si>
    <t>143247_F4</t>
  </si>
  <si>
    <t>CR su Dazi USA</t>
  </si>
  <si>
    <t>139552_1</t>
  </si>
  <si>
    <t xml:space="preserve">23/03 - stima inviata a Poste </t>
  </si>
  <si>
    <t>23/03 - stima inviata a Poste</t>
  </si>
  <si>
    <t>24/04 - cominicata sospensione da Poste
23/03 - inviata stima con intervento 5
13/02 - stima inviata a Poste</t>
  </si>
  <si>
    <t>Logistica_AQ-4490015980_Task 2026</t>
  </si>
  <si>
    <t>Logistica_AQ-4490015980_Canone 2026</t>
  </si>
  <si>
    <t>Nomina autorizzato Delivery</t>
  </si>
  <si>
    <t>DEBITO VECCHIO AQ</t>
  </si>
  <si>
    <t>A FINE LUGLIO</t>
  </si>
  <si>
    <t>Row Labels</t>
  </si>
  <si>
    <t>Grand Total</t>
  </si>
  <si>
    <t>Column Labels</t>
  </si>
  <si>
    <t>Sum of Importo Fornitura</t>
  </si>
  <si>
    <t>SAP LES</t>
  </si>
  <si>
    <t>GARA ADE CORRISPONDENZA - flusso da sedi</t>
  </si>
  <si>
    <t>IT010567-002</t>
  </si>
  <si>
    <t>IT010567-001</t>
  </si>
  <si>
    <t>30/03 - depositata stima applicando modalità di stima chiesta da Poste
16/02 - stima inviata a Poste</t>
  </si>
  <si>
    <t>30/03 - depositata stima applicando modalità di stima chiesta da Poste
11/03 - rilasciata elaborazione a Poste
09/03 - stima inviata con voce catalogo chiesta da Poste
06/03 - stima inviata a Poste</t>
  </si>
  <si>
    <t>Migrazione a github x BEP</t>
  </si>
  <si>
    <t>Adeguamenti EURODIS x Cipro Grecia</t>
  </si>
  <si>
    <t>datamatrix content</t>
  </si>
  <si>
    <t>Antifrode xl-idcli5</t>
  </si>
  <si>
    <t>31/03 - inviata stima aggiornata
23/03 - stima 9 requisiti critici inviata a Poste</t>
  </si>
  <si>
    <t>Pallotti</t>
  </si>
  <si>
    <t>P. OFFERTO REALIZZAZIONE</t>
  </si>
  <si>
    <t>Pz. Semplice</t>
  </si>
  <si>
    <t>Pz. Medio</t>
  </si>
  <si>
    <t>Pz. Complesso</t>
  </si>
  <si>
    <t>PREZZO OFFERTO MODIFICA</t>
  </si>
  <si>
    <t>Dazi US</t>
  </si>
  <si>
    <t>141761_CR</t>
  </si>
  <si>
    <t>Accettazione multicliente</t>
  </si>
  <si>
    <t>Integrazione Spedizioni Internazionali</t>
  </si>
  <si>
    <t>Semantica alfanumerica Ldv</t>
  </si>
  <si>
    <t>SAD</t>
  </si>
  <si>
    <t>Evolutive Doppio - Ingombranti</t>
  </si>
  <si>
    <t>143247_1</t>
  </si>
  <si>
    <t xml:space="preserve"> Elaborazione REVERSE ITZ PLUS_rev</t>
  </si>
  <si>
    <t>R.26.03_EXTRA</t>
  </si>
  <si>
    <t>https://capgemini.sharepoint.com/:f:/r/sites/LOGISTICA-GOVERNANCE2/Shared%20Documents/General/GARA%202025/ECONOMICS/TabelleOfferte/R.26.05/Tabella Offerta - 143247_SORTING CONTROLLER -Porting Gen 3.xlsx</t>
  </si>
  <si>
    <t>Tabella Offerta</t>
  </si>
  <si>
    <t xml:space="preserve"> Elaborazione REVERSE ITZ PLUS - file del 06.03_v1</t>
  </si>
  <si>
    <t>https://capgemini.sharepoint.com/:f:/r/sites/LOGISTICA-GOVERNANCE2/Shared%20Documents/General/GARA%202025/ECONOMICS/TabelleOfferte/R.26.03_EXTRA/Tabella Offerta - 137341_WIPI - Elaborazione REVERSE ITZ PLUS - file del 06.03_v1.xlsx</t>
  </si>
  <si>
    <t>IPER_IPERSUITE</t>
  </si>
  <si>
    <t>https://capgemini.sharepoint.com/:f:/r/sites/LOGISTICA-GOVERNANCE2/Shared%20Documents/General/GARA%202025/ECONOMICS/TabelleOfferte/R.26.05/Tabella Offerta - 141761_IPER_IPERSUITE -CR su Dazi USA.xlsx</t>
  </si>
  <si>
    <t>Colonna1</t>
  </si>
  <si>
    <t>https://capgemini.sharepoint.com/:f:/r/sites/LOGISTICA-GOVERNANCE2/Shared%20Documents/General/GARA%202025/ECONOMICS/TabelleOfferte/R.26.10/Tabella Offerta - 139552_BEP -Supplemento PDB per ritiro in sede diversa da quella certificata.xlsx</t>
  </si>
  <si>
    <t>Legge di bilancio_v1</t>
  </si>
  <si>
    <t>09/04 - approvazione Lerro
23/03 - inviata stia aggiornata a seguito integrazione requisiti
12/03 - stima inviata a Poste</t>
  </si>
  <si>
    <t>Gestione Nuovo Full Rent</t>
  </si>
  <si>
    <t>14/04 - stima inviata a Poste</t>
  </si>
  <si>
    <t>143247_IPER</t>
  </si>
  <si>
    <t>Rientri sicurezza CodeReview</t>
  </si>
  <si>
    <t>Logistica sanitaria e offerta pharma</t>
  </si>
  <si>
    <t>143247_ILP</t>
  </si>
  <si>
    <t>143247_SCO</t>
  </si>
  <si>
    <t>Antifrode JF7 Amazon</t>
  </si>
  <si>
    <t>16/04 - stima inviata a Poste</t>
  </si>
  <si>
    <t>E-mon a fine marzo (senza spostamento</t>
  </si>
  <si>
    <t>NEW AQ Partiamo con Nominale</t>
  </si>
  <si>
    <t xml:space="preserve">RECUPERO </t>
  </si>
  <si>
    <t xml:space="preserve">DEBITO REALE </t>
  </si>
  <si>
    <t xml:space="preserve">Presidio </t>
  </si>
  <si>
    <t>Ordinato BC OLD AQ</t>
  </si>
  <si>
    <t>Aprile Approvato</t>
  </si>
  <si>
    <t>Delta ad Aprile</t>
  </si>
  <si>
    <t>In approvazione  a fine anno</t>
  </si>
  <si>
    <t>Delta a fine anno</t>
  </si>
  <si>
    <t>Costo Team Actual</t>
  </si>
  <si>
    <t>Costo Team 31/12</t>
  </si>
  <si>
    <t>Licenza e ticket primo semestre</t>
  </si>
  <si>
    <t>no</t>
  </si>
  <si>
    <t>24/04 - senza economics in quanto non c'è spazio in OTE</t>
  </si>
  <si>
    <t>Ottimizzazione .. - Fase 1</t>
  </si>
  <si>
    <t xml:space="preserve"> pharma (add on)</t>
  </si>
  <si>
    <t>ITA0036670</t>
  </si>
  <si>
    <t xml:space="preserve">Revenue </t>
  </si>
  <si>
    <t>AQ 2022</t>
  </si>
  <si>
    <t>AQ 2026</t>
  </si>
  <si>
    <t>Ordini</t>
  </si>
  <si>
    <t>Previsione AQ 26</t>
  </si>
  <si>
    <t>Iniziative Approvate</t>
  </si>
  <si>
    <t>Collaudo vecchia tariffa</t>
  </si>
  <si>
    <t>TOT REVENUE (A)</t>
  </si>
  <si>
    <t>TOT ORDINI (B)</t>
  </si>
  <si>
    <t>ORDINI (B) - REVENUE (A)</t>
  </si>
  <si>
    <t>ENTRATE CERTE AQ 26</t>
  </si>
  <si>
    <t>TOT ENTRATE CERTE (C)</t>
  </si>
  <si>
    <t>TOT FCST Mag-Dic (D)</t>
  </si>
  <si>
    <t>USCITE CERTE AQ 26</t>
  </si>
  <si>
    <t>TOT ENTRATE (C) - USCITE (D) = (E)</t>
  </si>
  <si>
    <t>TOTALE PARZIALE = F = (A+E)</t>
  </si>
  <si>
    <t>Iniziative In approvazione (G)</t>
  </si>
  <si>
    <t>TOTALE FINALE (F+G)</t>
  </si>
  <si>
    <t>AQ 2026 - Presidio H1</t>
  </si>
  <si>
    <t>Presidio - Presidio H2</t>
  </si>
  <si>
    <t>Varie</t>
  </si>
  <si>
    <t>Pharma_evolutive 2026</t>
  </si>
  <si>
    <t>Accettazione multicliente - Fase 1</t>
  </si>
  <si>
    <t>Accettazione multicliente - Fase 2</t>
  </si>
  <si>
    <t>Supplemento PDB per ritiro in sede ...</t>
  </si>
  <si>
    <t>DESCRIZIONE</t>
  </si>
  <si>
    <t>RELEASE</t>
  </si>
  <si>
    <t>GO-TO</t>
  </si>
  <si>
    <t>Checchi - Q1 2026</t>
  </si>
  <si>
    <t>T&amp;T Repo 2025</t>
  </si>
  <si>
    <t>Corteselli 2025</t>
  </si>
  <si>
    <t>Antifrode gestione cvv</t>
  </si>
  <si>
    <t>05/05 - stima inviata a Poste</t>
  </si>
  <si>
    <t xml:space="preserve">si lega alla 138512 di NPSO dove stanno rimodulando le quote caricate su ADI </t>
  </si>
  <si>
    <t xml:space="preserve">Licenza - Q1 </t>
  </si>
  <si>
    <t>05/05 - approvato nel SAL da Innamorati
09/04 - stima inviata a Poste
18/03 - spostato da R.26_05 a R.26_06 - Golive obbligatoriamente entro il 28/06</t>
  </si>
  <si>
    <t>05/05 - approvato nel SAL da Innamorati
27/03 - inviata stima aggiornata
18/03 - spostato da R.26_05 a R.26_07
05/03 - stima inviata a Poste</t>
  </si>
  <si>
    <t>05/05 - approvato nel SAL da Innamorati
22/04 - stima inviata a Poste</t>
  </si>
  <si>
    <t>05/05 - approvato nel SAL da Innamorati</t>
  </si>
  <si>
    <t>05/05 - approvato nel SAL da Innamorati
18/03 - spostato da R.26_05 a R.26_07
05/03 - stima inviata a Poste</t>
  </si>
  <si>
    <t>05/05 - approvato nel SAL da Innamorati
18/03 - spostato da R.26_05 a R.26_07
16/02 - stima inviata a Poste</t>
  </si>
  <si>
    <t>05/05 - approvato nel SAL da Innamorat
12/03 - stima inviata a Poste</t>
  </si>
  <si>
    <t>05/05 - approvato nel SAL da Innamorat
31/03 - stima inviata a Poste</t>
  </si>
  <si>
    <t>Licenza e ticket primo trimestre</t>
  </si>
  <si>
    <t>05/05 - approvato nel SAL da Innamorat
16/02 - stima inviata a Poste</t>
  </si>
  <si>
    <t>Capgemini</t>
  </si>
  <si>
    <t>05/05 - sospeso comunicato nel SAL
27/03 - stima inviata a Poste</t>
  </si>
  <si>
    <t>05/05 - sospeso comunicato nel SAL
13/03 - stima inviata a Poste</t>
  </si>
  <si>
    <t>COLLAUDO</t>
  </si>
  <si>
    <t>R.26.03</t>
  </si>
  <si>
    <t>Quota Subco</t>
  </si>
  <si>
    <t>05/05 - mail "R: Check" di Cecilia</t>
  </si>
  <si>
    <t>Inserito nelle iniziative approvate</t>
  </si>
  <si>
    <t>MAURO1</t>
  </si>
  <si>
    <t>MAURO2</t>
  </si>
  <si>
    <t>TBD_1</t>
  </si>
  <si>
    <t>TBD_2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</si>
</sst>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#,##0.00\ &quot;€&quot;;[Red]\-#,##0.00\ &quot;€&quot;"/>
    <numFmt numFmtId="43" formatCode="_-* #,##0.00_-;\-* #,##0.00_-;_-* &quot;-&quot;??_-;_-@_-"/>
    <numFmt numFmtId="164" formatCode="dd/mm/yy;@"/>
    <numFmt numFmtId="165" formatCode="_-* #,##0.000_-;\-* #,##0.000_-;_-* &quot;-&quot;??_-;_-@_-"/>
    <numFmt numFmtId="166" formatCode="#,##0.00\ &quot;€&quot;"/>
    <numFmt numFmtId="167" formatCode="0.000"/>
    <numFmt numFmtId="168" formatCode="d/m/yy;@"/>
    <numFmt numFmtId="169" formatCode="0.0%"/>
    <numFmt numFmtId="170" formatCode="_-* #,##0.00\ _€_-;\-* #,##0.00\ _€_-;_-* &quot;-&quot;??\ _€_-;_-@_-"/>
    <numFmt numFmtId="171" formatCode="[$€-2]\ #,##0.00;[Red]\-[$€-2]\ #,##0.00"/>
    <numFmt numFmtId="172" formatCode="#,##0.000\ &quot;€&quot;"/>
  </numFmts>
  <fonts count="4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A75B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70C0"/>
      <name val="Calibri"/>
      <family val="2"/>
    </font>
    <font>
      <strike/>
      <sz val="11"/>
      <color rgb="FF0070C0"/>
      <name val="Calibri"/>
      <family val="2"/>
    </font>
    <font>
      <strike/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C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i/>
      <sz val="1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name val="Calibri"/>
      <family val="2"/>
    </font>
    <font>
      <b/>
      <sz val="11"/>
      <name val="Aptos"/>
      <family val="2"/>
    </font>
    <font>
      <sz val="11"/>
      <name val="Aptos"/>
      <family val="2"/>
    </font>
    <font>
      <sz val="9"/>
      <color theme="1"/>
      <name val="Aptos Narrow"/>
      <family val="2"/>
      <scheme val="minor"/>
    </font>
    <font>
      <b/>
      <sz val="9"/>
      <color rgb="FFFFFFFF"/>
      <name val="Aptos Display"/>
      <family val="2"/>
      <scheme val="major"/>
    </font>
    <font>
      <b/>
      <sz val="9"/>
      <color rgb="FF000000"/>
      <name val="Aptos Display"/>
      <family val="2"/>
      <scheme val="major"/>
    </font>
    <font>
      <sz val="9"/>
      <color rgb="FF000000"/>
      <name val="Aptos Display"/>
      <family val="2"/>
      <scheme val="major"/>
    </font>
    <font>
      <sz val="9"/>
      <color rgb="FFFF0000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10"/>
      <color theme="1"/>
      <name val="Aptos"/>
      <family val="2"/>
    </font>
    <font>
      <strike/>
      <sz val="10"/>
      <name val="Aptos Narrow"/>
      <family val="2"/>
      <scheme val="minor"/>
    </font>
    <font>
      <strike/>
      <sz val="10"/>
      <color rgb="FF00B05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F81BC"/>
        <bgColor indexed="64"/>
      </patternFill>
    </fill>
    <fill>
      <patternFill patternType="solid">
        <fgColor rgb="FFD9D9D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93">
    <border>
      <left/>
      <right/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double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double">
        <color indexed="64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7" tint="0.39994506668294322"/>
      </left>
      <right style="hair">
        <color theme="7" tint="0.39994506668294322"/>
      </right>
      <top style="thin">
        <color theme="7" tint="0.39994506668294322"/>
      </top>
      <bottom style="hair">
        <color theme="7" tint="0.39994506668294322"/>
      </bottom>
      <diagonal/>
    </border>
    <border>
      <left style="hair">
        <color theme="7" tint="0.39994506668294322"/>
      </left>
      <right style="hair">
        <color theme="7" tint="0.39994506668294322"/>
      </right>
      <top style="thin">
        <color theme="7" tint="0.39994506668294322"/>
      </top>
      <bottom style="hair">
        <color theme="7" tint="0.39994506668294322"/>
      </bottom>
      <diagonal/>
    </border>
    <border>
      <left style="hair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hair">
        <color theme="7" tint="0.39994506668294322"/>
      </bottom>
      <diagonal/>
    </border>
    <border>
      <left style="thin">
        <color theme="7" tint="0.39994506668294322"/>
      </left>
      <right style="hair">
        <color theme="7" tint="0.39994506668294322"/>
      </right>
      <top style="hair">
        <color theme="7" tint="0.39994506668294322"/>
      </top>
      <bottom style="hair">
        <color theme="7" tint="0.39994506668294322"/>
      </bottom>
      <diagonal/>
    </border>
    <border>
      <left style="hair">
        <color theme="7" tint="0.39994506668294322"/>
      </left>
      <right style="hair">
        <color theme="7" tint="0.39994506668294322"/>
      </right>
      <top style="hair">
        <color theme="7" tint="0.39994506668294322"/>
      </top>
      <bottom style="hair">
        <color theme="7" tint="0.39994506668294322"/>
      </bottom>
      <diagonal/>
    </border>
    <border>
      <left style="hair">
        <color theme="7" tint="0.39994506668294322"/>
      </left>
      <right style="thin">
        <color theme="7" tint="0.39994506668294322"/>
      </right>
      <top style="hair">
        <color theme="7" tint="0.39994506668294322"/>
      </top>
      <bottom style="hair">
        <color theme="7" tint="0.39994506668294322"/>
      </bottom>
      <diagonal/>
    </border>
    <border>
      <left style="thin">
        <color theme="7" tint="0.39994506668294322"/>
      </left>
      <right style="hair">
        <color theme="7" tint="0.39994506668294322"/>
      </right>
      <top style="hair">
        <color theme="7" tint="0.39994506668294322"/>
      </top>
      <bottom/>
      <diagonal/>
    </border>
    <border>
      <left style="hair">
        <color theme="7" tint="0.39994506668294322"/>
      </left>
      <right style="hair">
        <color theme="7" tint="0.39994506668294322"/>
      </right>
      <top style="hair">
        <color theme="7" tint="0.39994506668294322"/>
      </top>
      <bottom/>
      <diagonal/>
    </border>
    <border>
      <left style="hair">
        <color theme="7" tint="0.39994506668294322"/>
      </left>
      <right style="thin">
        <color theme="7" tint="0.39994506668294322"/>
      </right>
      <top style="hair">
        <color theme="7" tint="0.39994506668294322"/>
      </top>
      <bottom/>
      <diagonal/>
    </border>
    <border>
      <left style="thin">
        <color theme="7" tint="0.39994506668294322"/>
      </left>
      <right style="hair">
        <color theme="7" tint="0.39994506668294322"/>
      </right>
      <top style="thin">
        <color theme="7" tint="0.39994506668294322"/>
      </top>
      <bottom style="thin">
        <color theme="7" tint="0.39991454817346722"/>
      </bottom>
      <diagonal/>
    </border>
    <border>
      <left style="hair">
        <color theme="7" tint="0.39994506668294322"/>
      </left>
      <right style="hair">
        <color theme="7" tint="0.39994506668294322"/>
      </right>
      <top style="thin">
        <color theme="7" tint="0.39994506668294322"/>
      </top>
      <bottom style="thin">
        <color theme="7" tint="0.39991454817346722"/>
      </bottom>
      <diagonal/>
    </border>
    <border>
      <left style="hair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1454817346722"/>
      </bottom>
      <diagonal/>
    </border>
    <border>
      <left style="thin">
        <color theme="7" tint="0.39994506668294322"/>
      </left>
      <right style="hair">
        <color theme="7" tint="0.39994506668294322"/>
      </right>
      <top style="thin">
        <color theme="7" tint="0.39994506668294322"/>
      </top>
      <bottom/>
      <diagonal/>
    </border>
    <border>
      <left style="hair">
        <color theme="7" tint="0.39994506668294322"/>
      </left>
      <right style="hair">
        <color theme="7" tint="0.39994506668294322"/>
      </right>
      <top style="thin">
        <color theme="7" tint="0.39994506668294322"/>
      </top>
      <bottom/>
      <diagonal/>
    </border>
    <border>
      <left style="hair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7" tint="0.3999450666829432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  <xf numFmtId="0" fontId="40" fillId="0" borderId="0" applyNumberFormat="0" applyFill="0" applyBorder="0" applyAlignment="0" applyProtection="0"/>
  </cellStyleXfs>
  <cellXfs count="63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6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24" xfId="0" applyFont="1" applyFill="1" applyBorder="1" applyAlignment="1">
      <alignment vertical="center"/>
    </xf>
    <xf numFmtId="166" fontId="0" fillId="0" borderId="13" xfId="1" applyNumberFormat="1" applyFont="1" applyBorder="1" applyAlignment="1">
      <alignment vertical="center"/>
    </xf>
    <xf numFmtId="166" fontId="0" fillId="0" borderId="18" xfId="1" applyNumberFormat="1" applyFont="1" applyBorder="1" applyAlignment="1">
      <alignment vertical="center"/>
    </xf>
    <xf numFmtId="166" fontId="0" fillId="0" borderId="19" xfId="1" applyNumberFormat="1" applyFont="1" applyBorder="1" applyAlignment="1">
      <alignment vertical="center"/>
    </xf>
    <xf numFmtId="166" fontId="0" fillId="0" borderId="21" xfId="1" applyNumberFormat="1" applyFont="1" applyBorder="1" applyAlignment="1">
      <alignment vertical="center"/>
    </xf>
    <xf numFmtId="166" fontId="0" fillId="0" borderId="22" xfId="1" applyNumberFormat="1" applyFont="1" applyBorder="1" applyAlignment="1">
      <alignment vertical="center"/>
    </xf>
    <xf numFmtId="166" fontId="2" fillId="4" borderId="24" xfId="1" applyNumberFormat="1" applyFont="1" applyFill="1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166" fontId="12" fillId="0" borderId="18" xfId="1" applyNumberFormat="1" applyFont="1" applyFill="1" applyBorder="1" applyAlignment="1">
      <alignment vertical="center"/>
    </xf>
    <xf numFmtId="166" fontId="12" fillId="0" borderId="18" xfId="0" applyNumberFormat="1" applyFont="1" applyBorder="1" applyAlignment="1">
      <alignment vertical="center"/>
    </xf>
    <xf numFmtId="166" fontId="12" fillId="0" borderId="19" xfId="0" applyNumberFormat="1" applyFont="1" applyBorder="1" applyAlignment="1">
      <alignment vertical="center"/>
    </xf>
    <xf numFmtId="0" fontId="12" fillId="8" borderId="17" xfId="0" applyFont="1" applyFill="1" applyBorder="1" applyAlignment="1">
      <alignment vertical="center"/>
    </xf>
    <xf numFmtId="166" fontId="12" fillId="8" borderId="18" xfId="1" applyNumberFormat="1" applyFont="1" applyFill="1" applyBorder="1" applyAlignment="1">
      <alignment vertical="center"/>
    </xf>
    <xf numFmtId="166" fontId="12" fillId="8" borderId="18" xfId="0" applyNumberFormat="1" applyFont="1" applyFill="1" applyBorder="1" applyAlignment="1">
      <alignment vertical="center"/>
    </xf>
    <xf numFmtId="166" fontId="12" fillId="8" borderId="19" xfId="0" applyNumberFormat="1" applyFont="1" applyFill="1" applyBorder="1" applyAlignment="1">
      <alignment vertical="center"/>
    </xf>
    <xf numFmtId="0" fontId="12" fillId="8" borderId="20" xfId="0" applyFont="1" applyFill="1" applyBorder="1" applyAlignment="1">
      <alignment vertical="center"/>
    </xf>
    <xf numFmtId="166" fontId="12" fillId="8" borderId="21" xfId="1" applyNumberFormat="1" applyFont="1" applyFill="1" applyBorder="1" applyAlignment="1">
      <alignment vertical="center"/>
    </xf>
    <xf numFmtId="166" fontId="12" fillId="8" borderId="21" xfId="0" applyNumberFormat="1" applyFont="1" applyFill="1" applyBorder="1" applyAlignment="1">
      <alignment vertical="center"/>
    </xf>
    <xf numFmtId="166" fontId="12" fillId="8" borderId="22" xfId="0" applyNumberFormat="1" applyFont="1" applyFill="1" applyBorder="1" applyAlignment="1">
      <alignment vertical="center"/>
    </xf>
    <xf numFmtId="0" fontId="11" fillId="7" borderId="23" xfId="0" applyFont="1" applyFill="1" applyBorder="1" applyAlignment="1">
      <alignment vertical="center"/>
    </xf>
    <xf numFmtId="166" fontId="11" fillId="7" borderId="24" xfId="0" applyNumberFormat="1" applyFont="1" applyFill="1" applyBorder="1" applyAlignment="1">
      <alignment vertical="center"/>
    </xf>
    <xf numFmtId="43" fontId="11" fillId="0" borderId="16" xfId="0" quotePrefix="1" applyNumberFormat="1" applyFont="1" applyBorder="1" applyAlignment="1">
      <alignment horizontal="center" vertical="center"/>
    </xf>
    <xf numFmtId="0" fontId="11" fillId="0" borderId="16" xfId="0" quotePrefix="1" applyFont="1" applyBorder="1" applyAlignment="1">
      <alignment horizontal="center" vertical="center"/>
    </xf>
    <xf numFmtId="166" fontId="0" fillId="0" borderId="0" xfId="1" applyNumberFormat="1" applyFont="1" applyAlignment="1">
      <alignment vertical="center"/>
    </xf>
    <xf numFmtId="166" fontId="0" fillId="0" borderId="19" xfId="0" applyNumberFormat="1" applyBorder="1" applyAlignment="1">
      <alignment vertical="center"/>
    </xf>
    <xf numFmtId="166" fontId="2" fillId="4" borderId="25" xfId="0" applyNumberFormat="1" applyFont="1" applyFill="1" applyBorder="1" applyAlignment="1">
      <alignment vertical="center"/>
    </xf>
    <xf numFmtId="166" fontId="0" fillId="0" borderId="17" xfId="1" applyNumberFormat="1" applyFont="1" applyBorder="1" applyAlignment="1">
      <alignment vertical="center"/>
    </xf>
    <xf numFmtId="0" fontId="0" fillId="0" borderId="26" xfId="0" applyBorder="1" applyAlignment="1">
      <alignment vertical="center"/>
    </xf>
    <xf numFmtId="166" fontId="0" fillId="0" borderId="27" xfId="1" applyNumberFormat="1" applyFont="1" applyBorder="1" applyAlignment="1">
      <alignment vertical="center"/>
    </xf>
    <xf numFmtId="166" fontId="0" fillId="0" borderId="26" xfId="1" applyNumberFormat="1" applyFont="1" applyBorder="1" applyAlignment="1">
      <alignment vertical="center"/>
    </xf>
    <xf numFmtId="166" fontId="0" fillId="0" borderId="28" xfId="1" applyNumberFormat="1" applyFont="1" applyBorder="1" applyAlignment="1">
      <alignment vertical="center"/>
    </xf>
    <xf numFmtId="164" fontId="0" fillId="0" borderId="27" xfId="1" applyNumberFormat="1" applyFont="1" applyBorder="1" applyAlignment="1">
      <alignment vertical="center"/>
    </xf>
    <xf numFmtId="164" fontId="0" fillId="0" borderId="27" xfId="0" applyNumberFormat="1" applyBorder="1" applyAlignment="1">
      <alignment vertical="center"/>
    </xf>
    <xf numFmtId="164" fontId="0" fillId="0" borderId="18" xfId="1" applyNumberFormat="1" applyFont="1" applyBorder="1" applyAlignment="1">
      <alignment vertical="center"/>
    </xf>
    <xf numFmtId="164" fontId="0" fillId="0" borderId="18" xfId="0" applyNumberFormat="1" applyBorder="1" applyAlignment="1">
      <alignment vertical="center"/>
    </xf>
    <xf numFmtId="164" fontId="0" fillId="0" borderId="21" xfId="1" applyNumberFormat="1" applyFont="1" applyBorder="1" applyAlignment="1">
      <alignment vertical="center"/>
    </xf>
    <xf numFmtId="164" fontId="0" fillId="0" borderId="21" xfId="0" applyNumberFormat="1" applyBorder="1" applyAlignment="1">
      <alignment vertical="center"/>
    </xf>
    <xf numFmtId="166" fontId="2" fillId="4" borderId="25" xfId="1" applyNumberFormat="1" applyFont="1" applyFill="1" applyBorder="1" applyAlignment="1">
      <alignment vertical="center"/>
    </xf>
    <xf numFmtId="166" fontId="0" fillId="0" borderId="20" xfId="1" applyNumberFormat="1" applyFont="1" applyBorder="1" applyAlignment="1">
      <alignment vertical="center"/>
    </xf>
    <xf numFmtId="166" fontId="2" fillId="4" borderId="23" xfId="1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10" borderId="18" xfId="0" applyFill="1" applyBorder="1" applyAlignment="1">
      <alignment vertical="center"/>
    </xf>
    <xf numFmtId="166" fontId="0" fillId="10" borderId="19" xfId="0" applyNumberFormat="1" applyFill="1" applyBorder="1" applyAlignment="1">
      <alignment vertical="center"/>
    </xf>
    <xf numFmtId="0" fontId="0" fillId="10" borderId="21" xfId="0" applyFill="1" applyBorder="1" applyAlignment="1">
      <alignment vertical="center"/>
    </xf>
    <xf numFmtId="166" fontId="0" fillId="10" borderId="22" xfId="0" applyNumberForma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166" fontId="0" fillId="0" borderId="29" xfId="1" applyNumberFormat="1" applyFont="1" applyBorder="1" applyAlignment="1">
      <alignment vertical="center"/>
    </xf>
    <xf numFmtId="166" fontId="0" fillId="0" borderId="30" xfId="1" applyNumberFormat="1" applyFont="1" applyBorder="1" applyAlignment="1">
      <alignment vertical="center"/>
    </xf>
    <xf numFmtId="166" fontId="0" fillId="0" borderId="31" xfId="1" applyNumberFormat="1" applyFont="1" applyBorder="1" applyAlignment="1">
      <alignment vertical="center"/>
    </xf>
    <xf numFmtId="166" fontId="2" fillId="4" borderId="32" xfId="1" applyNumberFormat="1" applyFont="1" applyFill="1" applyBorder="1" applyAlignment="1">
      <alignment vertical="center"/>
    </xf>
    <xf numFmtId="166" fontId="0" fillId="0" borderId="15" xfId="1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166" fontId="0" fillId="0" borderId="33" xfId="1" applyNumberFormat="1" applyFont="1" applyBorder="1" applyAlignment="1">
      <alignment vertical="center"/>
    </xf>
    <xf numFmtId="166" fontId="0" fillId="0" borderId="34" xfId="1" applyNumberFormat="1" applyFont="1" applyBorder="1" applyAlignment="1">
      <alignment vertical="center"/>
    </xf>
    <xf numFmtId="166" fontId="0" fillId="0" borderId="35" xfId="1" applyNumberFormat="1" applyFont="1" applyBorder="1" applyAlignment="1">
      <alignment vertical="center"/>
    </xf>
    <xf numFmtId="166" fontId="2" fillId="4" borderId="36" xfId="1" applyNumberFormat="1" applyFont="1" applyFill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166" fontId="3" fillId="0" borderId="28" xfId="1" applyNumberFormat="1" applyFont="1" applyBorder="1" applyAlignment="1">
      <alignment vertical="center"/>
    </xf>
    <xf numFmtId="166" fontId="3" fillId="0" borderId="19" xfId="1" applyNumberFormat="1" applyFont="1" applyBorder="1" applyAlignment="1">
      <alignment vertical="center"/>
    </xf>
    <xf numFmtId="168" fontId="3" fillId="0" borderId="27" xfId="0" applyNumberFormat="1" applyFont="1" applyBorder="1" applyAlignment="1">
      <alignment vertical="center"/>
    </xf>
    <xf numFmtId="168" fontId="3" fillId="0" borderId="18" xfId="0" applyNumberFormat="1" applyFont="1" applyBorder="1" applyAlignment="1">
      <alignment vertical="center"/>
    </xf>
    <xf numFmtId="168" fontId="3" fillId="0" borderId="28" xfId="0" applyNumberFormat="1" applyFont="1" applyBorder="1" applyAlignment="1">
      <alignment vertical="center"/>
    </xf>
    <xf numFmtId="168" fontId="3" fillId="0" borderId="19" xfId="0" applyNumberFormat="1" applyFont="1" applyBorder="1" applyAlignment="1">
      <alignment vertical="center"/>
    </xf>
    <xf numFmtId="166" fontId="3" fillId="0" borderId="18" xfId="1" applyNumberFormat="1" applyFont="1" applyBorder="1" applyAlignment="1">
      <alignment vertical="center"/>
    </xf>
    <xf numFmtId="0" fontId="3" fillId="11" borderId="17" xfId="0" applyFont="1" applyFill="1" applyBorder="1" applyAlignment="1">
      <alignment vertical="center"/>
    </xf>
    <xf numFmtId="0" fontId="3" fillId="11" borderId="18" xfId="0" applyFont="1" applyFill="1" applyBorder="1" applyAlignment="1">
      <alignment vertical="center"/>
    </xf>
    <xf numFmtId="166" fontId="3" fillId="11" borderId="18" xfId="1" applyNumberFormat="1" applyFont="1" applyFill="1" applyBorder="1" applyAlignment="1">
      <alignment vertical="center"/>
    </xf>
    <xf numFmtId="168" fontId="3" fillId="11" borderId="18" xfId="0" applyNumberFormat="1" applyFont="1" applyFill="1" applyBorder="1" applyAlignment="1">
      <alignment vertical="center"/>
    </xf>
    <xf numFmtId="168" fontId="3" fillId="11" borderId="19" xfId="0" applyNumberFormat="1" applyFont="1" applyFill="1" applyBorder="1" applyAlignment="1">
      <alignment vertical="center"/>
    </xf>
    <xf numFmtId="168" fontId="3" fillId="11" borderId="39" xfId="0" applyNumberFormat="1" applyFont="1" applyFill="1" applyBorder="1" applyAlignment="1">
      <alignment vertical="center"/>
    </xf>
    <xf numFmtId="168" fontId="3" fillId="11" borderId="40" xfId="0" applyNumberFormat="1" applyFont="1" applyFill="1" applyBorder="1" applyAlignment="1">
      <alignment vertical="center"/>
    </xf>
    <xf numFmtId="166" fontId="3" fillId="0" borderId="18" xfId="0" applyNumberFormat="1" applyFont="1" applyBorder="1" applyAlignment="1">
      <alignment vertical="center"/>
    </xf>
    <xf numFmtId="166" fontId="3" fillId="0" borderId="27" xfId="0" applyNumberFormat="1" applyFont="1" applyBorder="1" applyAlignment="1">
      <alignment vertical="center"/>
    </xf>
    <xf numFmtId="166" fontId="3" fillId="0" borderId="27" xfId="1" applyNumberFormat="1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166" fontId="3" fillId="0" borderId="21" xfId="0" applyNumberFormat="1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166" fontId="3" fillId="0" borderId="21" xfId="1" applyNumberFormat="1" applyFont="1" applyBorder="1" applyAlignment="1">
      <alignment vertical="center"/>
    </xf>
    <xf numFmtId="166" fontId="3" fillId="0" borderId="22" xfId="1" applyNumberFormat="1" applyFont="1" applyBorder="1" applyAlignment="1">
      <alignment vertical="center"/>
    </xf>
    <xf numFmtId="0" fontId="8" fillId="4" borderId="23" xfId="0" applyFont="1" applyFill="1" applyBorder="1" applyAlignment="1">
      <alignment vertical="center"/>
    </xf>
    <xf numFmtId="0" fontId="8" fillId="4" borderId="24" xfId="0" applyFont="1" applyFill="1" applyBorder="1" applyAlignment="1">
      <alignment vertical="center"/>
    </xf>
    <xf numFmtId="166" fontId="8" fillId="4" borderId="24" xfId="0" applyNumberFormat="1" applyFont="1" applyFill="1" applyBorder="1" applyAlignment="1">
      <alignment vertical="center"/>
    </xf>
    <xf numFmtId="166" fontId="3" fillId="11" borderId="18" xfId="0" applyNumberFormat="1" applyFont="1" applyFill="1" applyBorder="1" applyAlignment="1">
      <alignment vertical="center"/>
    </xf>
    <xf numFmtId="166" fontId="3" fillId="11" borderId="19" xfId="1" applyNumberFormat="1" applyFont="1" applyFill="1" applyBorder="1" applyAlignment="1">
      <alignment vertical="center"/>
    </xf>
    <xf numFmtId="0" fontId="3" fillId="11" borderId="52" xfId="0" applyFont="1" applyFill="1" applyBorder="1" applyAlignment="1">
      <alignment vertical="center"/>
    </xf>
    <xf numFmtId="166" fontId="3" fillId="11" borderId="51" xfId="0" applyNumberFormat="1" applyFont="1" applyFill="1" applyBorder="1" applyAlignment="1">
      <alignment vertical="center"/>
    </xf>
    <xf numFmtId="0" fontId="3" fillId="11" borderId="51" xfId="0" applyFont="1" applyFill="1" applyBorder="1" applyAlignment="1">
      <alignment vertical="center"/>
    </xf>
    <xf numFmtId="166" fontId="3" fillId="11" borderId="51" xfId="1" applyNumberFormat="1" applyFont="1" applyFill="1" applyBorder="1" applyAlignment="1">
      <alignment vertical="center"/>
    </xf>
    <xf numFmtId="43" fontId="3" fillId="0" borderId="16" xfId="1" applyFont="1" applyBorder="1" applyAlignment="1">
      <alignment vertical="center"/>
    </xf>
    <xf numFmtId="43" fontId="3" fillId="11" borderId="18" xfId="1" applyFont="1" applyFill="1" applyBorder="1" applyAlignment="1">
      <alignment vertical="center"/>
    </xf>
    <xf numFmtId="43" fontId="3" fillId="0" borderId="27" xfId="1" applyFont="1" applyBorder="1" applyAlignment="1">
      <alignment vertical="center"/>
    </xf>
    <xf numFmtId="43" fontId="3" fillId="11" borderId="51" xfId="1" applyFont="1" applyFill="1" applyBorder="1" applyAlignment="1">
      <alignment vertical="center"/>
    </xf>
    <xf numFmtId="43" fontId="3" fillId="0" borderId="18" xfId="1" applyFont="1" applyBorder="1" applyAlignment="1">
      <alignment vertical="center"/>
    </xf>
    <xf numFmtId="0" fontId="0" fillId="0" borderId="52" xfId="0" applyBorder="1" applyAlignment="1">
      <alignment vertical="center"/>
    </xf>
    <xf numFmtId="164" fontId="0" fillId="0" borderId="51" xfId="1" applyNumberFormat="1" applyFont="1" applyBorder="1" applyAlignment="1">
      <alignment vertical="center"/>
    </xf>
    <xf numFmtId="164" fontId="0" fillId="0" borderId="51" xfId="0" applyNumberFormat="1" applyBorder="1" applyAlignment="1">
      <alignment vertical="center"/>
    </xf>
    <xf numFmtId="166" fontId="0" fillId="0" borderId="51" xfId="1" applyNumberFormat="1" applyFont="1" applyBorder="1" applyAlignment="1">
      <alignment vertical="center"/>
    </xf>
    <xf numFmtId="166" fontId="0" fillId="0" borderId="53" xfId="1" applyNumberFormat="1" applyFont="1" applyBorder="1" applyAlignment="1">
      <alignment vertical="center"/>
    </xf>
    <xf numFmtId="166" fontId="0" fillId="0" borderId="52" xfId="1" applyNumberFormat="1" applyFont="1" applyBorder="1" applyAlignment="1">
      <alignment vertical="center"/>
    </xf>
    <xf numFmtId="166" fontId="0" fillId="0" borderId="54" xfId="1" applyNumberFormat="1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0" fontId="8" fillId="0" borderId="5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166" fontId="8" fillId="4" borderId="23" xfId="1" applyNumberFormat="1" applyFont="1" applyFill="1" applyBorder="1" applyAlignment="1">
      <alignment vertical="center"/>
    </xf>
    <xf numFmtId="9" fontId="2" fillId="4" borderId="24" xfId="2" applyFont="1" applyFill="1" applyBorder="1" applyAlignment="1">
      <alignment vertical="center"/>
    </xf>
    <xf numFmtId="166" fontId="2" fillId="4" borderId="24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9" fillId="2" borderId="1" xfId="3" applyFont="1" applyFill="1" applyBorder="1" applyAlignment="1">
      <alignment horizontal="center" vertical="center" wrapText="1"/>
    </xf>
    <xf numFmtId="0" fontId="1" fillId="0" borderId="0" xfId="3" applyFont="1" applyAlignment="1">
      <alignment vertical="center"/>
    </xf>
    <xf numFmtId="14" fontId="1" fillId="0" borderId="0" xfId="3" applyNumberFormat="1" applyFont="1" applyAlignment="1">
      <alignment vertical="center"/>
    </xf>
    <xf numFmtId="1" fontId="1" fillId="0" borderId="0" xfId="3" applyNumberFormat="1" applyFont="1" applyAlignment="1">
      <alignment vertical="center"/>
    </xf>
    <xf numFmtId="1" fontId="1" fillId="0" borderId="0" xfId="3" applyNumberFormat="1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3" applyNumberFormat="1" applyFont="1" applyAlignment="1">
      <alignment vertical="center"/>
    </xf>
    <xf numFmtId="49" fontId="1" fillId="0" borderId="0" xfId="3" applyNumberFormat="1" applyFont="1" applyAlignment="1">
      <alignment vertical="center"/>
    </xf>
    <xf numFmtId="164" fontId="1" fillId="0" borderId="0" xfId="3" applyNumberFormat="1" applyFont="1" applyAlignment="1">
      <alignment horizontal="center" vertical="center"/>
    </xf>
    <xf numFmtId="49" fontId="1" fillId="0" borderId="0" xfId="3" quotePrefix="1" applyNumberFormat="1" applyFont="1" applyAlignment="1">
      <alignment vertical="center"/>
    </xf>
    <xf numFmtId="43" fontId="1" fillId="0" borderId="0" xfId="4" applyFont="1" applyAlignment="1">
      <alignment horizontal="right" vertical="center"/>
    </xf>
    <xf numFmtId="43" fontId="1" fillId="0" borderId="0" xfId="4" applyFont="1" applyAlignment="1">
      <alignment vertical="center"/>
    </xf>
    <xf numFmtId="8" fontId="1" fillId="0" borderId="0" xfId="3" applyNumberFormat="1" applyFont="1" applyAlignment="1">
      <alignment vertical="center"/>
    </xf>
    <xf numFmtId="0" fontId="17" fillId="0" borderId="0" xfId="3" applyFont="1" applyAlignment="1">
      <alignment vertical="center"/>
    </xf>
    <xf numFmtId="0" fontId="20" fillId="2" borderId="2" xfId="3" applyFont="1" applyFill="1" applyBorder="1" applyAlignment="1">
      <alignment horizontal="center" vertical="center" wrapText="1"/>
    </xf>
    <xf numFmtId="0" fontId="21" fillId="0" borderId="0" xfId="3" applyFont="1" applyAlignment="1">
      <alignment vertical="center"/>
    </xf>
    <xf numFmtId="0" fontId="22" fillId="0" borderId="0" xfId="3" applyFont="1" applyAlignment="1">
      <alignment vertical="center"/>
    </xf>
    <xf numFmtId="0" fontId="22" fillId="0" borderId="0" xfId="0" applyFont="1" applyAlignment="1">
      <alignment vertical="center"/>
    </xf>
    <xf numFmtId="0" fontId="20" fillId="2" borderId="1" xfId="3" applyFont="1" applyFill="1" applyBorder="1" applyAlignment="1">
      <alignment horizontal="center" vertical="center" wrapText="1"/>
    </xf>
    <xf numFmtId="0" fontId="23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66" fontId="3" fillId="0" borderId="13" xfId="0" applyNumberFormat="1" applyFont="1" applyBorder="1" applyAlignment="1">
      <alignment vertical="center"/>
    </xf>
    <xf numFmtId="166" fontId="3" fillId="11" borderId="19" xfId="0" applyNumberFormat="1" applyFont="1" applyFill="1" applyBorder="1" applyAlignment="1">
      <alignment vertical="center"/>
    </xf>
    <xf numFmtId="166" fontId="3" fillId="0" borderId="28" xfId="0" applyNumberFormat="1" applyFont="1" applyBorder="1" applyAlignment="1">
      <alignment vertical="center"/>
    </xf>
    <xf numFmtId="0" fontId="1" fillId="0" borderId="18" xfId="3" applyFont="1" applyBorder="1" applyAlignment="1">
      <alignment vertical="center"/>
    </xf>
    <xf numFmtId="14" fontId="1" fillId="0" borderId="18" xfId="3" applyNumberFormat="1" applyFont="1" applyBorder="1" applyAlignment="1">
      <alignment vertical="center"/>
    </xf>
    <xf numFmtId="8" fontId="1" fillId="0" borderId="18" xfId="3" applyNumberFormat="1" applyFont="1" applyBorder="1" applyAlignment="1">
      <alignment vertical="center"/>
    </xf>
    <xf numFmtId="4" fontId="1" fillId="0" borderId="18" xfId="3" applyNumberFormat="1" applyFont="1" applyBorder="1" applyAlignment="1">
      <alignment vertical="center"/>
    </xf>
    <xf numFmtId="0" fontId="16" fillId="0" borderId="0" xfId="3" applyFont="1" applyAlignment="1">
      <alignment vertical="center"/>
    </xf>
    <xf numFmtId="8" fontId="16" fillId="0" borderId="0" xfId="3" applyNumberFormat="1" applyFont="1" applyAlignment="1">
      <alignment vertical="center"/>
    </xf>
    <xf numFmtId="14" fontId="1" fillId="0" borderId="27" xfId="3" applyNumberFormat="1" applyFont="1" applyBorder="1" applyAlignment="1">
      <alignment vertical="center"/>
    </xf>
    <xf numFmtId="8" fontId="1" fillId="0" borderId="27" xfId="3" applyNumberFormat="1" applyFont="1" applyBorder="1" applyAlignment="1">
      <alignment vertical="center"/>
    </xf>
    <xf numFmtId="0" fontId="1" fillId="0" borderId="8" xfId="3" applyFont="1" applyBorder="1" applyAlignment="1">
      <alignment vertical="center"/>
    </xf>
    <xf numFmtId="0" fontId="2" fillId="0" borderId="8" xfId="3" applyFont="1" applyBorder="1" applyAlignment="1">
      <alignment horizontal="center" vertical="center"/>
    </xf>
    <xf numFmtId="0" fontId="24" fillId="0" borderId="0" xfId="3" applyFont="1" applyAlignment="1">
      <alignment vertical="center"/>
    </xf>
    <xf numFmtId="166" fontId="24" fillId="12" borderId="19" xfId="3" applyNumberFormat="1" applyFont="1" applyFill="1" applyBorder="1" applyAlignment="1">
      <alignment vertical="center"/>
    </xf>
    <xf numFmtId="166" fontId="24" fillId="0" borderId="28" xfId="3" applyNumberFormat="1" applyFont="1" applyBorder="1" applyAlignment="1">
      <alignment vertical="center"/>
    </xf>
    <xf numFmtId="16" fontId="24" fillId="0" borderId="0" xfId="3" applyNumberFormat="1" applyFont="1" applyAlignment="1">
      <alignment vertical="center"/>
    </xf>
    <xf numFmtId="164" fontId="0" fillId="0" borderId="16" xfId="0" applyNumberForma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1" fillId="0" borderId="15" xfId="3" applyFont="1" applyBorder="1" applyAlignment="1">
      <alignment vertical="center"/>
    </xf>
    <xf numFmtId="0" fontId="2" fillId="0" borderId="13" xfId="3" applyFont="1" applyBorder="1" applyAlignment="1">
      <alignment horizontal="center" vertical="center"/>
    </xf>
    <xf numFmtId="0" fontId="1" fillId="0" borderId="17" xfId="3" applyFont="1" applyBorder="1" applyAlignment="1">
      <alignment vertical="center"/>
    </xf>
    <xf numFmtId="8" fontId="1" fillId="0" borderId="19" xfId="3" applyNumberFormat="1" applyFont="1" applyBorder="1" applyAlignment="1">
      <alignment vertical="center"/>
    </xf>
    <xf numFmtId="17" fontId="1" fillId="0" borderId="17" xfId="3" applyNumberFormat="1" applyFont="1" applyBorder="1" applyAlignment="1">
      <alignment vertical="center"/>
    </xf>
    <xf numFmtId="0" fontId="1" fillId="0" borderId="19" xfId="3" applyFont="1" applyBorder="1" applyAlignment="1">
      <alignment horizontal="left" vertical="center"/>
    </xf>
    <xf numFmtId="0" fontId="1" fillId="0" borderId="17" xfId="3" quotePrefix="1" applyFont="1" applyBorder="1" applyAlignment="1">
      <alignment vertical="center"/>
    </xf>
    <xf numFmtId="4" fontId="1" fillId="0" borderId="19" xfId="3" applyNumberFormat="1" applyFont="1" applyBorder="1" applyAlignment="1">
      <alignment vertical="center"/>
    </xf>
    <xf numFmtId="0" fontId="11" fillId="0" borderId="13" xfId="0" quotePrefix="1" applyFont="1" applyBorder="1" applyAlignment="1">
      <alignment horizontal="center" vertical="center"/>
    </xf>
    <xf numFmtId="0" fontId="18" fillId="4" borderId="59" xfId="3" applyFont="1" applyFill="1" applyBorder="1" applyAlignment="1">
      <alignment vertical="center"/>
    </xf>
    <xf numFmtId="8" fontId="18" fillId="4" borderId="59" xfId="3" applyNumberFormat="1" applyFont="1" applyFill="1" applyBorder="1" applyAlignment="1">
      <alignment vertical="center"/>
    </xf>
    <xf numFmtId="166" fontId="0" fillId="0" borderId="16" xfId="0" applyNumberFormat="1" applyBorder="1" applyAlignment="1">
      <alignment vertical="center"/>
    </xf>
    <xf numFmtId="9" fontId="0" fillId="0" borderId="16" xfId="2" applyFont="1" applyBorder="1" applyAlignment="1">
      <alignment vertical="center"/>
    </xf>
    <xf numFmtId="166" fontId="0" fillId="0" borderId="16" xfId="1" applyNumberFormat="1" applyFont="1" applyBorder="1" applyAlignment="1">
      <alignment vertical="center"/>
    </xf>
    <xf numFmtId="166" fontId="0" fillId="0" borderId="18" xfId="0" applyNumberFormat="1" applyBorder="1" applyAlignment="1">
      <alignment vertical="center"/>
    </xf>
    <xf numFmtId="9" fontId="0" fillId="0" borderId="18" xfId="2" applyFont="1" applyBorder="1" applyAlignment="1">
      <alignment vertical="center"/>
    </xf>
    <xf numFmtId="0" fontId="0" fillId="11" borderId="17" xfId="0" applyFill="1" applyBorder="1" applyAlignment="1">
      <alignment vertical="center"/>
    </xf>
    <xf numFmtId="0" fontId="0" fillId="11" borderId="18" xfId="0" applyFill="1" applyBorder="1" applyAlignment="1">
      <alignment vertical="center"/>
    </xf>
    <xf numFmtId="164" fontId="0" fillId="11" borderId="18" xfId="0" applyNumberFormat="1" applyFill="1" applyBorder="1" applyAlignment="1">
      <alignment vertical="center"/>
    </xf>
    <xf numFmtId="166" fontId="0" fillId="11" borderId="18" xfId="0" applyNumberFormat="1" applyFill="1" applyBorder="1" applyAlignment="1">
      <alignment vertical="center"/>
    </xf>
    <xf numFmtId="9" fontId="0" fillId="11" borderId="18" xfId="2" applyFont="1" applyFill="1" applyBorder="1" applyAlignment="1">
      <alignment vertical="center"/>
    </xf>
    <xf numFmtId="166" fontId="0" fillId="11" borderId="18" xfId="1" applyNumberFormat="1" applyFont="1" applyFill="1" applyBorder="1" applyAlignment="1">
      <alignment vertical="center"/>
    </xf>
    <xf numFmtId="166" fontId="0" fillId="11" borderId="19" xfId="1" applyNumberFormat="1" applyFont="1" applyFill="1" applyBorder="1" applyAlignment="1">
      <alignment vertical="center"/>
    </xf>
    <xf numFmtId="0" fontId="0" fillId="11" borderId="20" xfId="0" applyFill="1" applyBorder="1" applyAlignment="1">
      <alignment vertical="center"/>
    </xf>
    <xf numFmtId="0" fontId="0" fillId="11" borderId="21" xfId="0" applyFill="1" applyBorder="1" applyAlignment="1">
      <alignment vertical="center"/>
    </xf>
    <xf numFmtId="164" fontId="0" fillId="11" borderId="21" xfId="0" applyNumberFormat="1" applyFill="1" applyBorder="1" applyAlignment="1">
      <alignment vertical="center"/>
    </xf>
    <xf numFmtId="166" fontId="0" fillId="11" borderId="21" xfId="0" applyNumberFormat="1" applyFill="1" applyBorder="1" applyAlignment="1">
      <alignment vertical="center"/>
    </xf>
    <xf numFmtId="9" fontId="0" fillId="11" borderId="21" xfId="2" applyFont="1" applyFill="1" applyBorder="1" applyAlignment="1">
      <alignment vertical="center"/>
    </xf>
    <xf numFmtId="166" fontId="0" fillId="11" borderId="21" xfId="1" applyNumberFormat="1" applyFont="1" applyFill="1" applyBorder="1" applyAlignment="1">
      <alignment vertical="center"/>
    </xf>
    <xf numFmtId="166" fontId="0" fillId="11" borderId="22" xfId="1" applyNumberFormat="1" applyFont="1" applyFill="1" applyBorder="1" applyAlignment="1">
      <alignment vertical="center"/>
    </xf>
    <xf numFmtId="8" fontId="1" fillId="0" borderId="28" xfId="3" applyNumberFormat="1" applyFont="1" applyBorder="1" applyAlignment="1">
      <alignment vertical="center"/>
    </xf>
    <xf numFmtId="17" fontId="1" fillId="0" borderId="26" xfId="3" applyNumberFormat="1" applyFont="1" applyBorder="1" applyAlignment="1">
      <alignment vertical="center"/>
    </xf>
    <xf numFmtId="0" fontId="1" fillId="0" borderId="28" xfId="3" applyFont="1" applyBorder="1" applyAlignment="1">
      <alignment horizontal="left" vertical="center"/>
    </xf>
    <xf numFmtId="0" fontId="1" fillId="0" borderId="16" xfId="3" applyFont="1" applyBorder="1" applyAlignment="1">
      <alignment vertical="center"/>
    </xf>
    <xf numFmtId="14" fontId="1" fillId="0" borderId="16" xfId="3" applyNumberFormat="1" applyFont="1" applyBorder="1" applyAlignment="1">
      <alignment vertical="center"/>
    </xf>
    <xf numFmtId="14" fontId="1" fillId="0" borderId="16" xfId="3" quotePrefix="1" applyNumberFormat="1" applyFont="1" applyBorder="1" applyAlignment="1">
      <alignment vertical="center"/>
    </xf>
    <xf numFmtId="8" fontId="1" fillId="0" borderId="16" xfId="3" applyNumberFormat="1" applyFont="1" applyBorder="1" applyAlignment="1">
      <alignment vertical="center"/>
    </xf>
    <xf numFmtId="8" fontId="1" fillId="0" borderId="13" xfId="3" applyNumberFormat="1" applyFont="1" applyBorder="1" applyAlignment="1">
      <alignment vertical="center"/>
    </xf>
    <xf numFmtId="0" fontId="1" fillId="11" borderId="17" xfId="3" applyFont="1" applyFill="1" applyBorder="1" applyAlignment="1">
      <alignment vertical="center"/>
    </xf>
    <xf numFmtId="0" fontId="1" fillId="11" borderId="18" xfId="3" applyFont="1" applyFill="1" applyBorder="1" applyAlignment="1">
      <alignment vertical="center"/>
    </xf>
    <xf numFmtId="14" fontId="1" fillId="11" borderId="18" xfId="3" applyNumberFormat="1" applyFont="1" applyFill="1" applyBorder="1" applyAlignment="1">
      <alignment vertical="center"/>
    </xf>
    <xf numFmtId="8" fontId="1" fillId="11" borderId="18" xfId="3" applyNumberFormat="1" applyFont="1" applyFill="1" applyBorder="1" applyAlignment="1">
      <alignment vertical="center"/>
    </xf>
    <xf numFmtId="8" fontId="1" fillId="11" borderId="19" xfId="3" applyNumberFormat="1" applyFont="1" applyFill="1" applyBorder="1" applyAlignment="1">
      <alignment vertical="center"/>
    </xf>
    <xf numFmtId="14" fontId="1" fillId="11" borderId="18" xfId="3" quotePrefix="1" applyNumberFormat="1" applyFont="1" applyFill="1" applyBorder="1" applyAlignment="1">
      <alignment vertical="center"/>
    </xf>
    <xf numFmtId="0" fontId="26" fillId="11" borderId="15" xfId="0" applyFont="1" applyFill="1" applyBorder="1" applyAlignment="1">
      <alignment vertical="center"/>
    </xf>
    <xf numFmtId="0" fontId="26" fillId="11" borderId="16" xfId="0" applyFont="1" applyFill="1" applyBorder="1" applyAlignment="1">
      <alignment vertical="center"/>
    </xf>
    <xf numFmtId="164" fontId="26" fillId="11" borderId="16" xfId="0" applyNumberFormat="1" applyFont="1" applyFill="1" applyBorder="1" applyAlignment="1">
      <alignment horizontal="center" vertical="center"/>
    </xf>
    <xf numFmtId="166" fontId="26" fillId="11" borderId="29" xfId="0" applyNumberFormat="1" applyFont="1" applyFill="1" applyBorder="1" applyAlignment="1">
      <alignment vertical="center"/>
    </xf>
    <xf numFmtId="9" fontId="26" fillId="11" borderId="29" xfId="2" applyFont="1" applyFill="1" applyBorder="1" applyAlignment="1">
      <alignment vertical="center"/>
    </xf>
    <xf numFmtId="166" fontId="26" fillId="11" borderId="13" xfId="1" applyNumberFormat="1" applyFont="1" applyFill="1" applyBorder="1" applyAlignment="1">
      <alignment vertical="center"/>
    </xf>
    <xf numFmtId="0" fontId="26" fillId="11" borderId="17" xfId="0" applyFont="1" applyFill="1" applyBorder="1" applyAlignment="1">
      <alignment vertical="center"/>
    </xf>
    <xf numFmtId="0" fontId="26" fillId="11" borderId="18" xfId="0" applyFont="1" applyFill="1" applyBorder="1" applyAlignment="1">
      <alignment vertical="center"/>
    </xf>
    <xf numFmtId="164" fontId="26" fillId="11" borderId="18" xfId="0" applyNumberFormat="1" applyFont="1" applyFill="1" applyBorder="1" applyAlignment="1">
      <alignment vertical="center"/>
    </xf>
    <xf numFmtId="166" fontId="26" fillId="11" borderId="30" xfId="0" applyNumberFormat="1" applyFont="1" applyFill="1" applyBorder="1" applyAlignment="1">
      <alignment vertical="center"/>
    </xf>
    <xf numFmtId="9" fontId="26" fillId="11" borderId="30" xfId="2" applyFont="1" applyFill="1" applyBorder="1" applyAlignment="1">
      <alignment vertical="center"/>
    </xf>
    <xf numFmtId="166" fontId="26" fillId="11" borderId="19" xfId="1" applyNumberFormat="1" applyFont="1" applyFill="1" applyBorder="1" applyAlignment="1">
      <alignment vertical="center"/>
    </xf>
    <xf numFmtId="0" fontId="26" fillId="11" borderId="20" xfId="0" applyFont="1" applyFill="1" applyBorder="1" applyAlignment="1">
      <alignment vertical="center"/>
    </xf>
    <xf numFmtId="0" fontId="26" fillId="11" borderId="21" xfId="0" applyFont="1" applyFill="1" applyBorder="1" applyAlignment="1">
      <alignment vertical="center"/>
    </xf>
    <xf numFmtId="164" fontId="26" fillId="11" borderId="21" xfId="0" applyNumberFormat="1" applyFont="1" applyFill="1" applyBorder="1" applyAlignment="1">
      <alignment vertical="center"/>
    </xf>
    <xf numFmtId="166" fontId="26" fillId="11" borderId="31" xfId="0" applyNumberFormat="1" applyFont="1" applyFill="1" applyBorder="1" applyAlignment="1">
      <alignment vertical="center"/>
    </xf>
    <xf numFmtId="9" fontId="26" fillId="11" borderId="31" xfId="2" applyFont="1" applyFill="1" applyBorder="1" applyAlignment="1">
      <alignment vertical="center"/>
    </xf>
    <xf numFmtId="166" fontId="26" fillId="11" borderId="22" xfId="1" applyNumberFormat="1" applyFont="1" applyFill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8" fillId="5" borderId="0" xfId="0" applyFont="1" applyFill="1" applyAlignment="1">
      <alignment vertical="center"/>
    </xf>
    <xf numFmtId="166" fontId="15" fillId="0" borderId="19" xfId="1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8" fontId="0" fillId="0" borderId="0" xfId="0" applyNumberFormat="1" applyAlignment="1">
      <alignment vertical="center"/>
    </xf>
    <xf numFmtId="14" fontId="2" fillId="6" borderId="8" xfId="0" applyNumberFormat="1" applyFont="1" applyFill="1" applyBorder="1" applyAlignment="1">
      <alignment horizontal="center" vertical="center"/>
    </xf>
    <xf numFmtId="166" fontId="11" fillId="7" borderId="25" xfId="0" applyNumberFormat="1" applyFont="1" applyFill="1" applyBorder="1" applyAlignment="1">
      <alignment vertical="center"/>
    </xf>
    <xf numFmtId="0" fontId="11" fillId="15" borderId="8" xfId="0" applyFont="1" applyFill="1" applyBorder="1" applyAlignment="1">
      <alignment vertical="center"/>
    </xf>
    <xf numFmtId="0" fontId="0" fillId="0" borderId="60" xfId="0" applyBorder="1" applyAlignment="1">
      <alignment vertical="center"/>
    </xf>
    <xf numFmtId="166" fontId="15" fillId="0" borderId="61" xfId="1" applyNumberFormat="1" applyFont="1" applyBorder="1" applyAlignment="1">
      <alignment vertical="center"/>
    </xf>
    <xf numFmtId="168" fontId="3" fillId="0" borderId="26" xfId="0" applyNumberFormat="1" applyFont="1" applyBorder="1" applyAlignment="1">
      <alignment vertical="center"/>
    </xf>
    <xf numFmtId="168" fontId="3" fillId="11" borderId="17" xfId="0" applyNumberFormat="1" applyFont="1" applyFill="1" applyBorder="1" applyAlignment="1">
      <alignment vertical="center"/>
    </xf>
    <xf numFmtId="168" fontId="3" fillId="0" borderId="17" xfId="0" applyNumberFormat="1" applyFont="1" applyBorder="1" applyAlignment="1">
      <alignment vertical="center"/>
    </xf>
    <xf numFmtId="168" fontId="3" fillId="11" borderId="38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66" fontId="4" fillId="0" borderId="0" xfId="0" applyNumberFormat="1" applyFont="1" applyAlignment="1">
      <alignment horizontal="left" vertical="top" wrapText="1"/>
    </xf>
    <xf numFmtId="1" fontId="4" fillId="0" borderId="0" xfId="0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43" fontId="4" fillId="0" borderId="0" xfId="1" applyFont="1" applyBorder="1" applyAlignment="1">
      <alignment horizontal="center" vertical="center"/>
    </xf>
    <xf numFmtId="0" fontId="1" fillId="12" borderId="42" xfId="3" applyFont="1" applyFill="1" applyBorder="1" applyAlignment="1">
      <alignment horizontal="center" vertical="center"/>
    </xf>
    <xf numFmtId="0" fontId="2" fillId="12" borderId="42" xfId="3" applyFont="1" applyFill="1" applyBorder="1" applyAlignment="1">
      <alignment horizontal="center" vertical="center"/>
    </xf>
    <xf numFmtId="0" fontId="2" fillId="12" borderId="0" xfId="3" applyFont="1" applyFill="1" applyAlignment="1">
      <alignment horizontal="center" vertical="center"/>
    </xf>
    <xf numFmtId="0" fontId="2" fillId="11" borderId="42" xfId="3" applyFont="1" applyFill="1" applyBorder="1" applyAlignment="1">
      <alignment horizontal="center" vertical="center"/>
    </xf>
    <xf numFmtId="0" fontId="2" fillId="9" borderId="42" xfId="3" applyFont="1" applyFill="1" applyBorder="1" applyAlignment="1">
      <alignment horizontal="center" vertical="center"/>
    </xf>
    <xf numFmtId="0" fontId="2" fillId="6" borderId="42" xfId="3" applyFont="1" applyFill="1" applyBorder="1" applyAlignment="1">
      <alignment horizontal="center" vertical="center"/>
    </xf>
    <xf numFmtId="0" fontId="2" fillId="13" borderId="42" xfId="3" applyFont="1" applyFill="1" applyBorder="1" applyAlignment="1">
      <alignment horizontal="center" vertical="center"/>
    </xf>
    <xf numFmtId="0" fontId="1" fillId="0" borderId="16" xfId="3" applyFont="1" applyBorder="1" applyAlignment="1" applyProtection="1">
      <alignment horizontal="left" vertical="center"/>
      <protection locked="0"/>
    </xf>
    <xf numFmtId="43" fontId="1" fillId="0" borderId="16" xfId="4" applyFont="1" applyFill="1" applyBorder="1" applyAlignment="1">
      <alignment vertical="center"/>
    </xf>
    <xf numFmtId="166" fontId="1" fillId="0" borderId="16" xfId="3" applyNumberFormat="1" applyFont="1" applyBorder="1" applyAlignment="1">
      <alignment vertical="center"/>
    </xf>
    <xf numFmtId="166" fontId="1" fillId="0" borderId="16" xfId="3" applyNumberFormat="1" applyFont="1" applyBorder="1" applyAlignment="1">
      <alignment vertical="top"/>
    </xf>
    <xf numFmtId="166" fontId="1" fillId="0" borderId="16" xfId="3" applyNumberFormat="1" applyFont="1" applyBorder="1" applyAlignment="1">
      <alignment horizontal="center" vertical="center"/>
    </xf>
    <xf numFmtId="14" fontId="1" fillId="0" borderId="16" xfId="3" applyNumberFormat="1" applyFont="1" applyBorder="1" applyAlignment="1">
      <alignment horizontal="center" vertical="center"/>
    </xf>
    <xf numFmtId="14" fontId="17" fillId="0" borderId="16" xfId="3" applyNumberFormat="1" applyFont="1" applyBorder="1" applyAlignment="1">
      <alignment horizontal="center" vertical="center"/>
    </xf>
    <xf numFmtId="14" fontId="17" fillId="0" borderId="13" xfId="3" applyNumberFormat="1" applyFont="1" applyBorder="1" applyAlignment="1">
      <alignment horizontal="center" vertical="center"/>
    </xf>
    <xf numFmtId="14" fontId="17" fillId="0" borderId="0" xfId="3" applyNumberFormat="1" applyFont="1" applyAlignment="1">
      <alignment horizontal="center" vertical="center"/>
    </xf>
    <xf numFmtId="0" fontId="1" fillId="0" borderId="13" xfId="3" applyFont="1" applyBorder="1" applyAlignment="1">
      <alignment vertical="center"/>
    </xf>
    <xf numFmtId="43" fontId="1" fillId="0" borderId="43" xfId="4" applyFont="1" applyFill="1" applyBorder="1" applyAlignment="1">
      <alignment vertical="center"/>
    </xf>
    <xf numFmtId="169" fontId="1" fillId="0" borderId="0" xfId="5" applyNumberFormat="1" applyFont="1" applyFill="1" applyBorder="1" applyAlignment="1">
      <alignment vertical="center"/>
    </xf>
    <xf numFmtId="43" fontId="1" fillId="0" borderId="0" xfId="4" applyFont="1" applyFill="1" applyBorder="1" applyAlignment="1">
      <alignment vertical="center"/>
    </xf>
    <xf numFmtId="0" fontId="1" fillId="0" borderId="41" xfId="3" applyFont="1" applyBorder="1" applyAlignment="1">
      <alignment vertical="center"/>
    </xf>
    <xf numFmtId="0" fontId="1" fillId="11" borderId="18" xfId="3" applyFont="1" applyFill="1" applyBorder="1" applyAlignment="1" applyProtection="1">
      <alignment horizontal="left" vertical="center"/>
      <protection locked="0"/>
    </xf>
    <xf numFmtId="43" fontId="1" fillId="11" borderId="18" xfId="4" applyFont="1" applyFill="1" applyBorder="1" applyAlignment="1">
      <alignment vertical="center"/>
    </xf>
    <xf numFmtId="166" fontId="1" fillId="11" borderId="18" xfId="3" applyNumberFormat="1" applyFont="1" applyFill="1" applyBorder="1" applyAlignment="1">
      <alignment vertical="center"/>
    </xf>
    <xf numFmtId="166" fontId="1" fillId="11" borderId="18" xfId="3" applyNumberFormat="1" applyFont="1" applyFill="1" applyBorder="1" applyAlignment="1">
      <alignment vertical="top"/>
    </xf>
    <xf numFmtId="166" fontId="1" fillId="11" borderId="18" xfId="3" applyNumberFormat="1" applyFont="1" applyFill="1" applyBorder="1" applyAlignment="1">
      <alignment horizontal="center" vertical="center"/>
    </xf>
    <xf numFmtId="166" fontId="1" fillId="11" borderId="18" xfId="3" quotePrefix="1" applyNumberFormat="1" applyFont="1" applyFill="1" applyBorder="1" applyAlignment="1">
      <alignment vertical="center"/>
    </xf>
    <xf numFmtId="14" fontId="1" fillId="11" borderId="18" xfId="3" applyNumberFormat="1" applyFont="1" applyFill="1" applyBorder="1" applyAlignment="1">
      <alignment horizontal="center" vertical="center"/>
    </xf>
    <xf numFmtId="14" fontId="17" fillId="11" borderId="18" xfId="3" applyNumberFormat="1" applyFont="1" applyFill="1" applyBorder="1" applyAlignment="1">
      <alignment horizontal="center" vertical="center"/>
    </xf>
    <xf numFmtId="14" fontId="17" fillId="11" borderId="19" xfId="3" applyNumberFormat="1" applyFont="1" applyFill="1" applyBorder="1" applyAlignment="1">
      <alignment horizontal="center" vertical="center"/>
    </xf>
    <xf numFmtId="14" fontId="17" fillId="11" borderId="0" xfId="3" applyNumberFormat="1" applyFont="1" applyFill="1" applyAlignment="1">
      <alignment horizontal="center" vertical="center"/>
    </xf>
    <xf numFmtId="0" fontId="1" fillId="11" borderId="19" xfId="3" applyFont="1" applyFill="1" applyBorder="1" applyAlignment="1">
      <alignment vertical="center"/>
    </xf>
    <xf numFmtId="43" fontId="1" fillId="11" borderId="44" xfId="4" applyFont="1" applyFill="1" applyBorder="1" applyAlignment="1">
      <alignment vertical="center"/>
    </xf>
    <xf numFmtId="0" fontId="1" fillId="11" borderId="37" xfId="3" applyFont="1" applyFill="1" applyBorder="1" applyAlignment="1">
      <alignment vertical="center"/>
    </xf>
    <xf numFmtId="169" fontId="1" fillId="11" borderId="37" xfId="5" applyNumberFormat="1" applyFont="1" applyFill="1" applyBorder="1" applyAlignment="1">
      <alignment vertical="center"/>
    </xf>
    <xf numFmtId="43" fontId="1" fillId="11" borderId="37" xfId="4" applyFont="1" applyFill="1" applyBorder="1" applyAlignment="1">
      <alignment vertical="center"/>
    </xf>
    <xf numFmtId="0" fontId="1" fillId="11" borderId="45" xfId="3" applyFont="1" applyFill="1" applyBorder="1" applyAlignment="1">
      <alignment vertical="center"/>
    </xf>
    <xf numFmtId="43" fontId="1" fillId="0" borderId="0" xfId="3" applyNumberFormat="1" applyFont="1" applyAlignment="1">
      <alignment vertical="center"/>
    </xf>
    <xf numFmtId="170" fontId="1" fillId="0" borderId="0" xfId="3" applyNumberFormat="1" applyFont="1" applyAlignment="1">
      <alignment vertical="center"/>
    </xf>
    <xf numFmtId="0" fontId="1" fillId="0" borderId="18" xfId="3" applyFont="1" applyBorder="1" applyAlignment="1" applyProtection="1">
      <alignment horizontal="left" vertical="center"/>
      <protection locked="0"/>
    </xf>
    <xf numFmtId="43" fontId="1" fillId="0" borderId="18" xfId="4" applyFont="1" applyFill="1" applyBorder="1" applyAlignment="1">
      <alignment vertical="center"/>
    </xf>
    <xf numFmtId="166" fontId="1" fillId="0" borderId="18" xfId="3" applyNumberFormat="1" applyFont="1" applyBorder="1" applyAlignment="1">
      <alignment vertical="center"/>
    </xf>
    <xf numFmtId="166" fontId="1" fillId="0" borderId="18" xfId="3" quotePrefix="1" applyNumberFormat="1" applyFont="1" applyBorder="1" applyAlignment="1">
      <alignment vertical="top"/>
    </xf>
    <xf numFmtId="166" fontId="1" fillId="0" borderId="18" xfId="3" applyNumberFormat="1" applyFont="1" applyBorder="1" applyAlignment="1">
      <alignment horizontal="center" vertical="center"/>
    </xf>
    <xf numFmtId="166" fontId="1" fillId="0" borderId="18" xfId="3" quotePrefix="1" applyNumberFormat="1" applyFont="1" applyBorder="1" applyAlignment="1">
      <alignment vertical="center"/>
    </xf>
    <xf numFmtId="14" fontId="1" fillId="0" borderId="18" xfId="3" applyNumberFormat="1" applyFont="1" applyBorder="1" applyAlignment="1">
      <alignment horizontal="center" vertical="center"/>
    </xf>
    <xf numFmtId="14" fontId="15" fillId="0" borderId="18" xfId="3" applyNumberFormat="1" applyFont="1" applyBorder="1" applyAlignment="1">
      <alignment horizontal="center" vertical="center"/>
    </xf>
    <xf numFmtId="14" fontId="27" fillId="0" borderId="18" xfId="3" applyNumberFormat="1" applyFont="1" applyBorder="1" applyAlignment="1">
      <alignment horizontal="center" vertical="center"/>
    </xf>
    <xf numFmtId="14" fontId="17" fillId="0" borderId="18" xfId="3" applyNumberFormat="1" applyFont="1" applyBorder="1" applyAlignment="1">
      <alignment horizontal="center" vertical="center"/>
    </xf>
    <xf numFmtId="14" fontId="17" fillId="0" borderId="19" xfId="3" applyNumberFormat="1" applyFont="1" applyBorder="1" applyAlignment="1">
      <alignment horizontal="center" vertical="center"/>
    </xf>
    <xf numFmtId="0" fontId="1" fillId="0" borderId="19" xfId="3" applyFont="1" applyBorder="1" applyAlignment="1">
      <alignment vertical="center"/>
    </xf>
    <xf numFmtId="43" fontId="1" fillId="0" borderId="46" xfId="4" applyFont="1" applyFill="1" applyBorder="1" applyAlignment="1">
      <alignment vertical="center"/>
    </xf>
    <xf numFmtId="0" fontId="1" fillId="0" borderId="47" xfId="3" applyFont="1" applyBorder="1" applyAlignment="1">
      <alignment vertical="center"/>
    </xf>
    <xf numFmtId="169" fontId="1" fillId="0" borderId="47" xfId="5" applyNumberFormat="1" applyFont="1" applyFill="1" applyBorder="1" applyAlignment="1">
      <alignment vertical="center"/>
    </xf>
    <xf numFmtId="43" fontId="1" fillId="0" borderId="47" xfId="4" applyFont="1" applyFill="1" applyBorder="1" applyAlignment="1">
      <alignment vertical="center"/>
    </xf>
    <xf numFmtId="0" fontId="1" fillId="0" borderId="48" xfId="3" applyFont="1" applyBorder="1" applyAlignment="1">
      <alignment vertical="center"/>
    </xf>
    <xf numFmtId="166" fontId="1" fillId="11" borderId="18" xfId="3" quotePrefix="1" applyNumberFormat="1" applyFont="1" applyFill="1" applyBorder="1" applyAlignment="1">
      <alignment vertical="top" wrapText="1"/>
    </xf>
    <xf numFmtId="14" fontId="27" fillId="11" borderId="18" xfId="3" applyNumberFormat="1" applyFont="1" applyFill="1" applyBorder="1" applyAlignment="1">
      <alignment horizontal="center" vertical="center"/>
    </xf>
    <xf numFmtId="43" fontId="1" fillId="11" borderId="43" xfId="4" applyFont="1" applyFill="1" applyBorder="1" applyAlignment="1">
      <alignment vertical="center"/>
    </xf>
    <xf numFmtId="0" fontId="1" fillId="11" borderId="0" xfId="3" applyFont="1" applyFill="1" applyAlignment="1">
      <alignment vertical="center"/>
    </xf>
    <xf numFmtId="169" fontId="1" fillId="11" borderId="0" xfId="5" applyNumberFormat="1" applyFont="1" applyFill="1" applyBorder="1" applyAlignment="1">
      <alignment vertical="center"/>
    </xf>
    <xf numFmtId="43" fontId="1" fillId="11" borderId="0" xfId="4" applyFont="1" applyFill="1" applyBorder="1" applyAlignment="1">
      <alignment vertical="center"/>
    </xf>
    <xf numFmtId="0" fontId="1" fillId="11" borderId="41" xfId="3" applyFont="1" applyFill="1" applyBorder="1" applyAlignment="1">
      <alignment vertical="center"/>
    </xf>
    <xf numFmtId="0" fontId="17" fillId="0" borderId="18" xfId="3" applyFont="1" applyBorder="1" applyAlignment="1" applyProtection="1">
      <alignment horizontal="left" vertical="center"/>
      <protection locked="0"/>
    </xf>
    <xf numFmtId="166" fontId="1" fillId="0" borderId="18" xfId="3" quotePrefix="1" applyNumberFormat="1" applyFont="1" applyBorder="1" applyAlignment="1">
      <alignment vertical="top" wrapText="1"/>
    </xf>
    <xf numFmtId="14" fontId="25" fillId="0" borderId="18" xfId="3" applyNumberFormat="1" applyFont="1" applyBorder="1" applyAlignment="1">
      <alignment horizontal="center" vertical="center"/>
    </xf>
    <xf numFmtId="43" fontId="1" fillId="0" borderId="44" xfId="4" applyFont="1" applyFill="1" applyBorder="1" applyAlignment="1">
      <alignment vertical="center"/>
    </xf>
    <xf numFmtId="0" fontId="1" fillId="0" borderId="37" xfId="3" applyFont="1" applyBorder="1" applyAlignment="1">
      <alignment vertical="center"/>
    </xf>
    <xf numFmtId="169" fontId="1" fillId="0" borderId="37" xfId="5" applyNumberFormat="1" applyFont="1" applyFill="1" applyBorder="1" applyAlignment="1">
      <alignment vertical="center"/>
    </xf>
    <xf numFmtId="43" fontId="1" fillId="0" borderId="37" xfId="4" applyFont="1" applyFill="1" applyBorder="1" applyAlignment="1">
      <alignment vertical="center"/>
    </xf>
    <xf numFmtId="0" fontId="1" fillId="0" borderId="45" xfId="3" applyFont="1" applyBorder="1" applyAlignment="1">
      <alignment vertical="center"/>
    </xf>
    <xf numFmtId="14" fontId="25" fillId="11" borderId="18" xfId="3" applyNumberFormat="1" applyFont="1" applyFill="1" applyBorder="1" applyAlignment="1">
      <alignment horizontal="center" vertical="center"/>
    </xf>
    <xf numFmtId="43" fontId="1" fillId="11" borderId="46" xfId="4" applyFont="1" applyFill="1" applyBorder="1" applyAlignment="1">
      <alignment vertical="center"/>
    </xf>
    <xf numFmtId="0" fontId="1" fillId="11" borderId="47" xfId="3" applyFont="1" applyFill="1" applyBorder="1" applyAlignment="1">
      <alignment vertical="center"/>
    </xf>
    <xf numFmtId="169" fontId="1" fillId="11" borderId="47" xfId="5" applyNumberFormat="1" applyFont="1" applyFill="1" applyBorder="1" applyAlignment="1">
      <alignment vertical="center"/>
    </xf>
    <xf numFmtId="43" fontId="1" fillId="11" borderId="47" xfId="4" applyFont="1" applyFill="1" applyBorder="1" applyAlignment="1">
      <alignment vertical="center"/>
    </xf>
    <xf numFmtId="0" fontId="1" fillId="11" borderId="48" xfId="3" applyFont="1" applyFill="1" applyBorder="1" applyAlignment="1">
      <alignment vertical="center"/>
    </xf>
    <xf numFmtId="166" fontId="1" fillId="0" borderId="18" xfId="3" applyNumberFormat="1" applyFont="1" applyBorder="1" applyAlignment="1">
      <alignment vertical="top"/>
    </xf>
    <xf numFmtId="166" fontId="17" fillId="11" borderId="18" xfId="3" applyNumberFormat="1" applyFont="1" applyFill="1" applyBorder="1" applyAlignment="1">
      <alignment vertical="center"/>
    </xf>
    <xf numFmtId="14" fontId="28" fillId="11" borderId="18" xfId="3" applyNumberFormat="1" applyFont="1" applyFill="1" applyBorder="1" applyAlignment="1">
      <alignment horizontal="center" vertical="center"/>
    </xf>
    <xf numFmtId="166" fontId="17" fillId="0" borderId="18" xfId="3" applyNumberFormat="1" applyFont="1" applyBorder="1" applyAlignment="1">
      <alignment vertical="center"/>
    </xf>
    <xf numFmtId="166" fontId="1" fillId="11" borderId="18" xfId="3" quotePrefix="1" applyNumberFormat="1" applyFont="1" applyFill="1" applyBorder="1" applyAlignment="1">
      <alignment vertical="top"/>
    </xf>
    <xf numFmtId="14" fontId="16" fillId="0" borderId="18" xfId="3" applyNumberFormat="1" applyFont="1" applyBorder="1" applyAlignment="1">
      <alignment horizontal="center" vertical="center"/>
    </xf>
    <xf numFmtId="9" fontId="1" fillId="0" borderId="0" xfId="3" applyNumberFormat="1" applyFont="1" applyAlignment="1">
      <alignment vertical="center"/>
    </xf>
    <xf numFmtId="166" fontId="2" fillId="0" borderId="0" xfId="3" applyNumberFormat="1" applyFont="1" applyAlignment="1">
      <alignment vertical="center"/>
    </xf>
    <xf numFmtId="0" fontId="2" fillId="14" borderId="23" xfId="3" applyFont="1" applyFill="1" applyBorder="1" applyAlignment="1">
      <alignment vertical="center"/>
    </xf>
    <xf numFmtId="0" fontId="1" fillId="0" borderId="49" xfId="3" applyFont="1" applyBorder="1" applyAlignment="1">
      <alignment vertical="center"/>
    </xf>
    <xf numFmtId="0" fontId="2" fillId="0" borderId="49" xfId="3" applyFont="1" applyBorder="1" applyAlignment="1">
      <alignment vertical="center"/>
    </xf>
    <xf numFmtId="43" fontId="2" fillId="14" borderId="49" xfId="3" applyNumberFormat="1" applyFont="1" applyFill="1" applyBorder="1" applyAlignment="1">
      <alignment horizontal="right" vertical="center"/>
    </xf>
    <xf numFmtId="43" fontId="2" fillId="14" borderId="49" xfId="3" applyNumberFormat="1" applyFont="1" applyFill="1" applyBorder="1" applyAlignment="1">
      <alignment vertical="center"/>
    </xf>
    <xf numFmtId="9" fontId="2" fillId="14" borderId="49" xfId="5" applyFont="1" applyFill="1" applyBorder="1" applyAlignment="1">
      <alignment vertical="center"/>
    </xf>
    <xf numFmtId="43" fontId="1" fillId="0" borderId="0" xfId="4" applyFont="1" applyFill="1" applyAlignment="1">
      <alignment vertical="center"/>
    </xf>
    <xf numFmtId="170" fontId="2" fillId="14" borderId="0" xfId="3" applyNumberFormat="1" applyFont="1" applyFill="1" applyAlignment="1">
      <alignment vertical="center"/>
    </xf>
    <xf numFmtId="0" fontId="2" fillId="0" borderId="50" xfId="3" applyFont="1" applyBorder="1" applyAlignment="1">
      <alignment vertical="center"/>
    </xf>
    <xf numFmtId="0" fontId="1" fillId="0" borderId="50" xfId="3" applyFont="1" applyBorder="1" applyAlignment="1">
      <alignment vertical="center"/>
    </xf>
    <xf numFmtId="9" fontId="2" fillId="14" borderId="50" xfId="5" applyFont="1" applyFill="1" applyBorder="1" applyAlignment="1">
      <alignment vertical="center"/>
    </xf>
    <xf numFmtId="0" fontId="2" fillId="0" borderId="0" xfId="3" applyFont="1" applyAlignment="1">
      <alignment vertical="center"/>
    </xf>
    <xf numFmtId="0" fontId="26" fillId="11" borderId="15" xfId="3" applyFont="1" applyFill="1" applyBorder="1" applyAlignment="1">
      <alignment vertical="center"/>
    </xf>
    <xf numFmtId="0" fontId="26" fillId="11" borderId="16" xfId="3" applyFont="1" applyFill="1" applyBorder="1" applyAlignment="1">
      <alignment vertical="center"/>
    </xf>
    <xf numFmtId="0" fontId="26" fillId="11" borderId="16" xfId="3" applyFont="1" applyFill="1" applyBorder="1" applyAlignment="1">
      <alignment horizontal="center" vertical="center"/>
    </xf>
    <xf numFmtId="166" fontId="26" fillId="11" borderId="16" xfId="3" applyNumberFormat="1" applyFont="1" applyFill="1" applyBorder="1" applyAlignment="1">
      <alignment vertical="center"/>
    </xf>
    <xf numFmtId="0" fontId="1" fillId="0" borderId="16" xfId="3" applyFont="1" applyBorder="1" applyAlignment="1">
      <alignment horizontal="center" vertical="center"/>
    </xf>
    <xf numFmtId="14" fontId="26" fillId="11" borderId="16" xfId="3" applyNumberFormat="1" applyFont="1" applyFill="1" applyBorder="1" applyAlignment="1">
      <alignment horizontal="center" vertical="center"/>
    </xf>
    <xf numFmtId="0" fontId="1" fillId="0" borderId="13" xfId="3" applyFont="1" applyBorder="1" applyAlignment="1">
      <alignment horizontal="center" vertical="center"/>
    </xf>
    <xf numFmtId="0" fontId="29" fillId="11" borderId="17" xfId="3" applyFont="1" applyFill="1" applyBorder="1" applyAlignment="1">
      <alignment vertical="center"/>
    </xf>
    <xf numFmtId="0" fontId="29" fillId="11" borderId="18" xfId="3" applyFont="1" applyFill="1" applyBorder="1" applyAlignment="1" applyProtection="1">
      <alignment horizontal="left" vertical="center"/>
      <protection locked="0"/>
    </xf>
    <xf numFmtId="0" fontId="29" fillId="11" borderId="18" xfId="3" applyFont="1" applyFill="1" applyBorder="1" applyAlignment="1">
      <alignment vertical="center"/>
    </xf>
    <xf numFmtId="0" fontId="26" fillId="11" borderId="18" xfId="3" applyFont="1" applyFill="1" applyBorder="1" applyAlignment="1">
      <alignment vertical="center"/>
    </xf>
    <xf numFmtId="0" fontId="29" fillId="11" borderId="18" xfId="3" applyFont="1" applyFill="1" applyBorder="1" applyAlignment="1">
      <alignment horizontal="center" vertical="center"/>
    </xf>
    <xf numFmtId="166" fontId="29" fillId="11" borderId="18" xfId="3" applyNumberFormat="1" applyFont="1" applyFill="1" applyBorder="1" applyAlignment="1">
      <alignment vertical="center"/>
    </xf>
    <xf numFmtId="166" fontId="26" fillId="11" borderId="18" xfId="3" applyNumberFormat="1" applyFont="1" applyFill="1" applyBorder="1" applyAlignment="1">
      <alignment vertical="center"/>
    </xf>
    <xf numFmtId="0" fontId="1" fillId="0" borderId="18" xfId="3" applyFont="1" applyBorder="1" applyAlignment="1">
      <alignment horizontal="center" vertical="center"/>
    </xf>
    <xf numFmtId="14" fontId="26" fillId="11" borderId="18" xfId="3" applyNumberFormat="1" applyFont="1" applyFill="1" applyBorder="1" applyAlignment="1">
      <alignment horizontal="center" vertical="center"/>
    </xf>
    <xf numFmtId="0" fontId="1" fillId="0" borderId="19" xfId="3" applyFont="1" applyBorder="1" applyAlignment="1">
      <alignment horizontal="center" vertical="center"/>
    </xf>
    <xf numFmtId="0" fontId="15" fillId="11" borderId="17" xfId="3" applyFont="1" applyFill="1" applyBorder="1" applyAlignment="1">
      <alignment vertical="center"/>
    </xf>
    <xf numFmtId="16" fontId="29" fillId="11" borderId="18" xfId="3" applyNumberFormat="1" applyFont="1" applyFill="1" applyBorder="1" applyAlignment="1">
      <alignment vertical="center"/>
    </xf>
    <xf numFmtId="14" fontId="29" fillId="11" borderId="18" xfId="3" applyNumberFormat="1" applyFont="1" applyFill="1" applyBorder="1" applyAlignment="1">
      <alignment horizontal="center" vertical="center"/>
    </xf>
    <xf numFmtId="14" fontId="29" fillId="11" borderId="19" xfId="3" applyNumberFormat="1" applyFont="1" applyFill="1" applyBorder="1" applyAlignment="1">
      <alignment horizontal="center" vertical="center"/>
    </xf>
    <xf numFmtId="14" fontId="29" fillId="11" borderId="0" xfId="3" applyNumberFormat="1" applyFont="1" applyFill="1" applyAlignment="1">
      <alignment horizontal="center" vertical="center"/>
    </xf>
    <xf numFmtId="0" fontId="15" fillId="0" borderId="0" xfId="3" applyFont="1" applyAlignment="1">
      <alignment vertical="center"/>
    </xf>
    <xf numFmtId="14" fontId="16" fillId="11" borderId="18" xfId="3" applyNumberFormat="1" applyFont="1" applyFill="1" applyBorder="1" applyAlignment="1">
      <alignment horizontal="center" vertical="center"/>
    </xf>
    <xf numFmtId="0" fontId="2" fillId="0" borderId="8" xfId="3" applyFont="1" applyBorder="1" applyAlignment="1">
      <alignment vertical="center"/>
    </xf>
    <xf numFmtId="17" fontId="1" fillId="11" borderId="17" xfId="3" applyNumberFormat="1" applyFont="1" applyFill="1" applyBorder="1" applyAlignment="1">
      <alignment vertical="center"/>
    </xf>
    <xf numFmtId="0" fontId="1" fillId="11" borderId="19" xfId="3" applyFont="1" applyFill="1" applyBorder="1" applyAlignment="1">
      <alignment horizontal="left" vertical="center"/>
    </xf>
    <xf numFmtId="0" fontId="1" fillId="11" borderId="17" xfId="3" quotePrefix="1" applyFont="1" applyFill="1" applyBorder="1" applyAlignment="1">
      <alignment vertical="center"/>
    </xf>
    <xf numFmtId="4" fontId="1" fillId="11" borderId="18" xfId="3" applyNumberFormat="1" applyFont="1" applyFill="1" applyBorder="1" applyAlignment="1">
      <alignment vertical="center"/>
    </xf>
    <xf numFmtId="4" fontId="1" fillId="11" borderId="19" xfId="3" applyNumberFormat="1" applyFont="1" applyFill="1" applyBorder="1" applyAlignment="1">
      <alignment vertical="center"/>
    </xf>
    <xf numFmtId="9" fontId="17" fillId="0" borderId="0" xfId="2" applyFont="1" applyAlignment="1">
      <alignment vertical="center"/>
    </xf>
    <xf numFmtId="172" fontId="1" fillId="0" borderId="0" xfId="3" applyNumberFormat="1" applyFont="1" applyAlignment="1">
      <alignment vertical="center"/>
    </xf>
    <xf numFmtId="166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16" xfId="0" applyNumberFormat="1" applyFont="1" applyBorder="1" applyAlignment="1">
      <alignment vertical="center"/>
    </xf>
    <xf numFmtId="0" fontId="3" fillId="11" borderId="20" xfId="0" applyFont="1" applyFill="1" applyBorder="1" applyAlignment="1">
      <alignment vertical="center"/>
    </xf>
    <xf numFmtId="0" fontId="3" fillId="11" borderId="21" xfId="0" applyFont="1" applyFill="1" applyBorder="1" applyAlignment="1">
      <alignment vertical="center"/>
    </xf>
    <xf numFmtId="43" fontId="3" fillId="11" borderId="21" xfId="1" applyFont="1" applyFill="1" applyBorder="1" applyAlignment="1">
      <alignment vertical="center"/>
    </xf>
    <xf numFmtId="166" fontId="3" fillId="11" borderId="21" xfId="0" applyNumberFormat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0" fontId="8" fillId="11" borderId="23" xfId="0" applyFont="1" applyFill="1" applyBorder="1" applyAlignment="1">
      <alignment vertical="center"/>
    </xf>
    <xf numFmtId="0" fontId="3" fillId="11" borderId="24" xfId="0" applyFont="1" applyFill="1" applyBorder="1" applyAlignment="1">
      <alignment vertical="center"/>
    </xf>
    <xf numFmtId="43" fontId="3" fillId="11" borderId="24" xfId="1" applyFont="1" applyFill="1" applyBorder="1" applyAlignment="1">
      <alignment vertical="center"/>
    </xf>
    <xf numFmtId="166" fontId="3" fillId="11" borderId="22" xfId="0" applyNumberFormat="1" applyFont="1" applyFill="1" applyBorder="1" applyAlignment="1">
      <alignment vertical="center"/>
    </xf>
    <xf numFmtId="166" fontId="3" fillId="0" borderId="16" xfId="1" applyNumberFormat="1" applyFont="1" applyBorder="1" applyAlignment="1">
      <alignment vertical="center"/>
    </xf>
    <xf numFmtId="166" fontId="3" fillId="11" borderId="21" xfId="1" applyNumberFormat="1" applyFont="1" applyFill="1" applyBorder="1" applyAlignment="1">
      <alignment vertical="center"/>
    </xf>
    <xf numFmtId="166" fontId="8" fillId="11" borderId="24" xfId="1" applyNumberFormat="1" applyFont="1" applyFill="1" applyBorder="1" applyAlignment="1">
      <alignment vertical="center"/>
    </xf>
    <xf numFmtId="166" fontId="8" fillId="11" borderId="25" xfId="1" applyNumberFormat="1" applyFont="1" applyFill="1" applyBorder="1" applyAlignment="1">
      <alignment vertical="center"/>
    </xf>
    <xf numFmtId="0" fontId="30" fillId="11" borderId="1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1" fillId="11" borderId="1" xfId="3" applyFont="1" applyFill="1" applyBorder="1" applyAlignment="1">
      <alignment horizontal="center" vertical="center" wrapText="1"/>
    </xf>
    <xf numFmtId="0" fontId="33" fillId="5" borderId="8" xfId="3" applyFont="1" applyFill="1" applyBorder="1" applyAlignment="1">
      <alignment horizontal="center" vertical="center" wrapText="1"/>
    </xf>
    <xf numFmtId="0" fontId="33" fillId="5" borderId="12" xfId="3" applyFont="1" applyFill="1" applyBorder="1" applyAlignment="1">
      <alignment horizontal="center" vertical="center" wrapText="1"/>
    </xf>
    <xf numFmtId="0" fontId="33" fillId="12" borderId="17" xfId="6" applyFont="1" applyFill="1" applyBorder="1" applyAlignment="1">
      <alignment horizontal="center" vertical="center" wrapText="1"/>
    </xf>
    <xf numFmtId="14" fontId="33" fillId="12" borderId="18" xfId="6" applyNumberFormat="1" applyFont="1" applyFill="1" applyBorder="1" applyAlignment="1">
      <alignment horizontal="center" vertical="center" wrapText="1"/>
    </xf>
    <xf numFmtId="1" fontId="33" fillId="12" borderId="18" xfId="6" applyNumberFormat="1" applyFont="1" applyFill="1" applyBorder="1" applyAlignment="1">
      <alignment horizontal="center" vertical="center" wrapText="1"/>
    </xf>
    <xf numFmtId="14" fontId="33" fillId="12" borderId="18" xfId="3" applyNumberFormat="1" applyFont="1" applyFill="1" applyBorder="1" applyAlignment="1">
      <alignment horizontal="center" vertical="center" wrapText="1"/>
    </xf>
    <xf numFmtId="0" fontId="33" fillId="12" borderId="18" xfId="3" applyFont="1" applyFill="1" applyBorder="1" applyAlignment="1">
      <alignment horizontal="center" vertical="center" wrapText="1"/>
    </xf>
    <xf numFmtId="0" fontId="33" fillId="0" borderId="26" xfId="6" applyFont="1" applyBorder="1" applyAlignment="1">
      <alignment horizontal="center" vertical="center" wrapText="1"/>
    </xf>
    <xf numFmtId="14" fontId="33" fillId="0" borderId="27" xfId="6" applyNumberFormat="1" applyFont="1" applyBorder="1" applyAlignment="1">
      <alignment horizontal="center" vertical="center" wrapText="1"/>
    </xf>
    <xf numFmtId="1" fontId="33" fillId="0" borderId="27" xfId="6" applyNumberFormat="1" applyFont="1" applyBorder="1" applyAlignment="1">
      <alignment horizontal="center" vertical="center" wrapText="1"/>
    </xf>
    <xf numFmtId="14" fontId="33" fillId="0" borderId="27" xfId="3" applyNumberFormat="1" applyFont="1" applyBorder="1" applyAlignment="1">
      <alignment horizontal="center" vertical="center" wrapText="1"/>
    </xf>
    <xf numFmtId="0" fontId="33" fillId="0" borderId="27" xfId="3" applyFont="1" applyBorder="1" applyAlignment="1">
      <alignment horizontal="center" vertical="center" wrapText="1"/>
    </xf>
    <xf numFmtId="10" fontId="0" fillId="0" borderId="0" xfId="2" applyNumberFormat="1" applyFont="1" applyAlignment="1">
      <alignment vertical="center"/>
    </xf>
    <xf numFmtId="0" fontId="34" fillId="0" borderId="0" xfId="0" applyFont="1"/>
    <xf numFmtId="0" fontId="36" fillId="5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left" vertical="center" wrapText="1"/>
    </xf>
    <xf numFmtId="0" fontId="37" fillId="0" borderId="42" xfId="0" applyFont="1" applyBorder="1" applyAlignment="1">
      <alignment vertical="center" wrapText="1"/>
    </xf>
    <xf numFmtId="0" fontId="37" fillId="0" borderId="8" xfId="0" applyFont="1" applyBorder="1" applyAlignment="1">
      <alignment vertical="center" wrapText="1"/>
    </xf>
    <xf numFmtId="9" fontId="37" fillId="0" borderId="8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justify" vertical="center" wrapText="1"/>
    </xf>
    <xf numFmtId="9" fontId="36" fillId="18" borderId="8" xfId="0" applyNumberFormat="1" applyFont="1" applyFill="1" applyBorder="1" applyAlignment="1">
      <alignment horizontal="center" vertical="center" wrapText="1"/>
    </xf>
    <xf numFmtId="0" fontId="39" fillId="5" borderId="8" xfId="0" applyFont="1" applyFill="1" applyBorder="1" applyAlignment="1">
      <alignment horizontal="center" vertical="center" wrapText="1"/>
    </xf>
    <xf numFmtId="0" fontId="37" fillId="0" borderId="42" xfId="0" applyFont="1" applyBorder="1" applyAlignment="1">
      <alignment horizontal="left" vertical="center" wrapText="1"/>
    </xf>
    <xf numFmtId="171" fontId="0" fillId="0" borderId="0" xfId="0" applyNumberFormat="1" applyAlignment="1">
      <alignment vertical="center"/>
    </xf>
    <xf numFmtId="8" fontId="3" fillId="0" borderId="0" xfId="0" applyNumberFormat="1" applyFont="1" applyAlignment="1">
      <alignment vertical="center"/>
    </xf>
    <xf numFmtId="43" fontId="0" fillId="0" borderId="0" xfId="1" applyFont="1" applyAlignment="1">
      <alignment vertical="center"/>
    </xf>
    <xf numFmtId="9" fontId="3" fillId="0" borderId="0" xfId="2" applyFont="1" applyAlignment="1">
      <alignment vertical="center"/>
    </xf>
    <xf numFmtId="166" fontId="40" fillId="11" borderId="18" xfId="7" applyNumberFormat="1" applyFill="1" applyBorder="1" applyAlignment="1">
      <alignment vertical="center"/>
    </xf>
    <xf numFmtId="166" fontId="40" fillId="0" borderId="16" xfId="7" applyNumberFormat="1" applyBorder="1" applyAlignment="1">
      <alignment vertical="center"/>
    </xf>
    <xf numFmtId="9" fontId="41" fillId="0" borderId="0" xfId="2" applyFont="1" applyAlignment="1">
      <alignment vertical="center"/>
    </xf>
    <xf numFmtId="43" fontId="0" fillId="0" borderId="0" xfId="4" applyFont="1" applyAlignment="1">
      <alignment vertical="center"/>
    </xf>
    <xf numFmtId="170" fontId="0" fillId="0" borderId="0" xfId="0" applyNumberFormat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2" fillId="4" borderId="36" xfId="0" applyFont="1" applyFill="1" applyBorder="1" applyAlignment="1">
      <alignment vertical="center"/>
    </xf>
    <xf numFmtId="14" fontId="0" fillId="0" borderId="16" xfId="3" applyNumberFormat="1" applyFont="1" applyBorder="1" applyAlignment="1">
      <alignment horizontal="center" vertical="center"/>
    </xf>
    <xf numFmtId="1" fontId="1" fillId="0" borderId="0" xfId="3" quotePrefix="1" applyNumberFormat="1" applyFont="1" applyAlignment="1">
      <alignment horizontal="center" vertical="center"/>
    </xf>
    <xf numFmtId="166" fontId="8" fillId="0" borderId="0" xfId="1" applyNumberFormat="1" applyFont="1" applyFill="1" applyBorder="1" applyAlignment="1">
      <alignment vertical="center"/>
    </xf>
    <xf numFmtId="14" fontId="0" fillId="11" borderId="18" xfId="3" applyNumberFormat="1" applyFont="1" applyFill="1" applyBorder="1" applyAlignment="1">
      <alignment vertical="center"/>
    </xf>
    <xf numFmtId="14" fontId="0" fillId="0" borderId="18" xfId="3" applyNumberFormat="1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70" fontId="0" fillId="0" borderId="0" xfId="0" applyNumberForma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2" applyNumberFormat="1" applyFont="1"/>
    <xf numFmtId="9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42" fillId="0" borderId="0" xfId="0" applyFont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55" xfId="0" applyFont="1" applyBorder="1" applyAlignment="1">
      <alignment horizontal="center" vertical="center"/>
    </xf>
    <xf numFmtId="171" fontId="3" fillId="0" borderId="27" xfId="0" applyNumberFormat="1" applyFont="1" applyBorder="1" applyAlignment="1">
      <alignment vertical="center"/>
    </xf>
    <xf numFmtId="171" fontId="3" fillId="0" borderId="28" xfId="0" applyNumberFormat="1" applyFont="1" applyBorder="1" applyAlignment="1">
      <alignment vertical="center"/>
    </xf>
    <xf numFmtId="171" fontId="3" fillId="0" borderId="0" xfId="0" applyNumberFormat="1" applyFont="1" applyAlignment="1">
      <alignment vertical="center"/>
    </xf>
    <xf numFmtId="43" fontId="43" fillId="0" borderId="26" xfId="1" applyFont="1" applyBorder="1" applyAlignment="1">
      <alignment vertical="center"/>
    </xf>
    <xf numFmtId="43" fontId="43" fillId="0" borderId="27" xfId="1" applyFont="1" applyBorder="1" applyAlignment="1">
      <alignment vertical="center"/>
    </xf>
    <xf numFmtId="43" fontId="43" fillId="0" borderId="28" xfId="1" applyFont="1" applyBorder="1" applyAlignment="1">
      <alignment vertical="center"/>
    </xf>
    <xf numFmtId="171" fontId="3" fillId="0" borderId="18" xfId="0" applyNumberFormat="1" applyFont="1" applyBorder="1" applyAlignment="1">
      <alignment vertical="center"/>
    </xf>
    <xf numFmtId="171" fontId="3" fillId="0" borderId="19" xfId="0" applyNumberFormat="1" applyFont="1" applyBorder="1" applyAlignment="1">
      <alignment vertical="center"/>
    </xf>
    <xf numFmtId="43" fontId="43" fillId="0" borderId="17" xfId="1" applyFont="1" applyBorder="1" applyAlignment="1">
      <alignment vertical="center"/>
    </xf>
    <xf numFmtId="43" fontId="43" fillId="0" borderId="18" xfId="1" applyFont="1" applyBorder="1" applyAlignment="1">
      <alignment vertical="center"/>
    </xf>
    <xf numFmtId="43" fontId="43" fillId="0" borderId="19" xfId="1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171" fontId="3" fillId="0" borderId="39" xfId="0" applyNumberFormat="1" applyFont="1" applyBorder="1" applyAlignment="1">
      <alignment vertical="center"/>
    </xf>
    <xf numFmtId="171" fontId="3" fillId="0" borderId="40" xfId="0" applyNumberFormat="1" applyFont="1" applyBorder="1" applyAlignment="1">
      <alignment vertical="center"/>
    </xf>
    <xf numFmtId="171" fontId="8" fillId="0" borderId="0" xfId="0" applyNumberFormat="1" applyFont="1" applyAlignment="1">
      <alignment vertical="center"/>
    </xf>
    <xf numFmtId="165" fontId="4" fillId="0" borderId="0" xfId="1" applyNumberFormat="1" applyFont="1" applyFill="1" applyAlignment="1">
      <alignment horizontal="center" vertical="center"/>
    </xf>
    <xf numFmtId="166" fontId="4" fillId="0" borderId="0" xfId="1" applyNumberFormat="1" applyFont="1" applyFill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171" fontId="0" fillId="0" borderId="0" xfId="0" applyNumberFormat="1"/>
    <xf numFmtId="165" fontId="4" fillId="0" borderId="0" xfId="1" applyNumberFormat="1" applyFont="1" applyFill="1" applyBorder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left" vertical="top"/>
    </xf>
    <xf numFmtId="0" fontId="40" fillId="0" borderId="0" xfId="7" applyFill="1" applyAlignment="1">
      <alignment vertical="center"/>
    </xf>
    <xf numFmtId="170" fontId="0" fillId="0" borderId="0" xfId="0" applyNumberFormat="1"/>
    <xf numFmtId="3" fontId="4" fillId="0" borderId="0" xfId="0" applyNumberFormat="1" applyFont="1" applyAlignment="1">
      <alignment vertical="center"/>
    </xf>
    <xf numFmtId="0" fontId="0" fillId="0" borderId="0" xfId="3" applyFont="1" applyAlignment="1">
      <alignment vertical="center"/>
    </xf>
    <xf numFmtId="43" fontId="0" fillId="0" borderId="0" xfId="0" applyNumberFormat="1"/>
    <xf numFmtId="166" fontId="42" fillId="0" borderId="0" xfId="0" applyNumberFormat="1" applyFont="1" applyAlignment="1">
      <alignment vertical="center"/>
    </xf>
    <xf numFmtId="4" fontId="0" fillId="0" borderId="0" xfId="0" applyNumberFormat="1" applyAlignment="1">
      <alignment horizontal="right" vertical="center"/>
    </xf>
    <xf numFmtId="43" fontId="0" fillId="0" borderId="0" xfId="1" applyFont="1" applyAlignment="1">
      <alignment horizontal="right" vertical="center"/>
    </xf>
    <xf numFmtId="0" fontId="0" fillId="0" borderId="0" xfId="0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0" fontId="2" fillId="0" borderId="0" xfId="0" applyFont="1" applyAlignment="1">
      <alignment vertical="center"/>
    </xf>
    <xf numFmtId="43" fontId="2" fillId="0" borderId="0" xfId="1" applyFont="1" applyAlignment="1">
      <alignment horizontal="right" vertical="center"/>
    </xf>
    <xf numFmtId="166" fontId="0" fillId="2" borderId="19" xfId="1" applyNumberFormat="1" applyFont="1" applyFill="1" applyBorder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vertical="top" wrapText="1"/>
    </xf>
    <xf numFmtId="0" fontId="44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166" fontId="44" fillId="0" borderId="0" xfId="0" applyNumberFormat="1" applyFont="1" applyAlignment="1">
      <alignment vertical="center"/>
    </xf>
    <xf numFmtId="166" fontId="44" fillId="0" borderId="0" xfId="0" applyNumberFormat="1" applyFont="1" applyAlignment="1">
      <alignment horizontal="left" vertical="top" wrapText="1"/>
    </xf>
    <xf numFmtId="1" fontId="44" fillId="0" borderId="0" xfId="0" applyNumberFormat="1" applyFont="1" applyAlignment="1">
      <alignment horizontal="center" vertical="center"/>
    </xf>
    <xf numFmtId="165" fontId="44" fillId="0" borderId="0" xfId="1" applyNumberFormat="1" applyFont="1" applyAlignment="1">
      <alignment horizontal="center" vertical="center"/>
    </xf>
    <xf numFmtId="166" fontId="44" fillId="0" borderId="0" xfId="1" applyNumberFormat="1" applyFont="1" applyAlignment="1">
      <alignment horizontal="center" vertical="center"/>
    </xf>
    <xf numFmtId="43" fontId="44" fillId="0" borderId="0" xfId="1" applyFont="1" applyAlignment="1">
      <alignment horizontal="center" vertical="center"/>
    </xf>
    <xf numFmtId="43" fontId="0" fillId="0" borderId="0" xfId="1" applyFont="1"/>
    <xf numFmtId="43" fontId="2" fillId="14" borderId="0" xfId="3" applyNumberFormat="1" applyFont="1" applyFill="1" applyAlignment="1">
      <alignment vertical="center"/>
    </xf>
    <xf numFmtId="43" fontId="1" fillId="0" borderId="0" xfId="1" applyFont="1" applyAlignment="1">
      <alignment vertical="center"/>
    </xf>
    <xf numFmtId="43" fontId="4" fillId="0" borderId="0" xfId="1" applyFont="1" applyAlignment="1">
      <alignment vertical="center"/>
    </xf>
    <xf numFmtId="166" fontId="0" fillId="0" borderId="19" xfId="1" applyNumberFormat="1" applyFont="1" applyFill="1" applyBorder="1" applyAlignment="1">
      <alignment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left" vertical="center"/>
    </xf>
    <xf numFmtId="0" fontId="4" fillId="0" borderId="67" xfId="0" applyFont="1" applyBorder="1" applyAlignment="1">
      <alignment vertical="top" wrapText="1"/>
    </xf>
    <xf numFmtId="0" fontId="4" fillId="0" borderId="67" xfId="0" applyFont="1" applyBorder="1" applyAlignment="1">
      <alignment horizontal="center" vertical="center"/>
    </xf>
    <xf numFmtId="166" fontId="4" fillId="0" borderId="68" xfId="0" applyNumberFormat="1" applyFont="1" applyBorder="1" applyAlignment="1">
      <alignment vertical="center"/>
    </xf>
    <xf numFmtId="0" fontId="4" fillId="11" borderId="66" xfId="0" applyFont="1" applyFill="1" applyBorder="1" applyAlignment="1">
      <alignment horizontal="center" vertical="center"/>
    </xf>
    <xf numFmtId="0" fontId="4" fillId="11" borderId="67" xfId="0" applyFont="1" applyFill="1" applyBorder="1" applyAlignment="1">
      <alignment horizontal="left" vertical="center"/>
    </xf>
    <xf numFmtId="0" fontId="4" fillId="11" borderId="67" xfId="0" applyFont="1" applyFill="1" applyBorder="1" applyAlignment="1">
      <alignment vertical="top" wrapText="1"/>
    </xf>
    <xf numFmtId="0" fontId="4" fillId="11" borderId="67" xfId="0" applyFont="1" applyFill="1" applyBorder="1" applyAlignment="1">
      <alignment horizontal="center" vertical="center"/>
    </xf>
    <xf numFmtId="166" fontId="4" fillId="11" borderId="68" xfId="0" applyNumberFormat="1" applyFont="1" applyFill="1" applyBorder="1" applyAlignment="1">
      <alignment vertical="center"/>
    </xf>
    <xf numFmtId="0" fontId="4" fillId="0" borderId="69" xfId="0" applyFont="1" applyBorder="1" applyAlignment="1">
      <alignment horizontal="center" vertical="center"/>
    </xf>
    <xf numFmtId="0" fontId="4" fillId="0" borderId="70" xfId="0" applyFont="1" applyBorder="1" applyAlignment="1">
      <alignment horizontal="left" vertical="center"/>
    </xf>
    <xf numFmtId="0" fontId="4" fillId="0" borderId="70" xfId="0" applyFont="1" applyBorder="1" applyAlignment="1">
      <alignment vertical="top" wrapText="1"/>
    </xf>
    <xf numFmtId="0" fontId="4" fillId="0" borderId="70" xfId="0" applyFont="1" applyBorder="1" applyAlignment="1">
      <alignment horizontal="center" vertical="center"/>
    </xf>
    <xf numFmtId="166" fontId="4" fillId="0" borderId="71" xfId="0" applyNumberFormat="1" applyFont="1" applyBorder="1" applyAlignment="1">
      <alignment vertical="center"/>
    </xf>
    <xf numFmtId="0" fontId="6" fillId="5" borderId="8" xfId="0" applyFont="1" applyFill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/>
    </xf>
    <xf numFmtId="0" fontId="4" fillId="0" borderId="73" xfId="0" applyFont="1" applyBorder="1" applyAlignment="1">
      <alignment horizontal="left" vertical="center"/>
    </xf>
    <xf numFmtId="0" fontId="4" fillId="0" borderId="73" xfId="0" applyFont="1" applyBorder="1" applyAlignment="1">
      <alignment vertical="top" wrapText="1"/>
    </xf>
    <xf numFmtId="0" fontId="4" fillId="0" borderId="73" xfId="0" applyFont="1" applyBorder="1" applyAlignment="1">
      <alignment horizontal="center" vertical="center"/>
    </xf>
    <xf numFmtId="166" fontId="4" fillId="0" borderId="74" xfId="0" applyNumberFormat="1" applyFont="1" applyBorder="1" applyAlignment="1">
      <alignment vertical="center"/>
    </xf>
    <xf numFmtId="166" fontId="2" fillId="19" borderId="76" xfId="0" applyNumberFormat="1" applyFont="1" applyFill="1" applyBorder="1"/>
    <xf numFmtId="0" fontId="42" fillId="0" borderId="0" xfId="0" applyFont="1" applyAlignment="1">
      <alignment horizontal="left" vertical="center"/>
    </xf>
    <xf numFmtId="49" fontId="0" fillId="0" borderId="0" xfId="3" applyNumberFormat="1" applyFont="1" applyAlignment="1">
      <alignment vertical="center"/>
    </xf>
    <xf numFmtId="0" fontId="0" fillId="0" borderId="26" xfId="3" quotePrefix="1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0" fontId="0" fillId="0" borderId="0" xfId="0" applyAlignment="1">
      <alignment horizontal="left" indent="1"/>
    </xf>
    <xf numFmtId="0" fontId="2" fillId="20" borderId="42" xfId="0" applyFont="1" applyFill="1" applyBorder="1" applyAlignment="1">
      <alignment horizontal="center" vertical="center"/>
    </xf>
    <xf numFmtId="0" fontId="0" fillId="0" borderId="78" xfId="0" applyBorder="1" applyAlignment="1">
      <alignment horizontal="left" indent="1"/>
    </xf>
    <xf numFmtId="43" fontId="0" fillId="0" borderId="78" xfId="0" applyNumberFormat="1" applyBorder="1"/>
    <xf numFmtId="0" fontId="0" fillId="0" borderId="81" xfId="0" applyBorder="1" applyAlignment="1">
      <alignment horizontal="left" indent="1"/>
    </xf>
    <xf numFmtId="43" fontId="0" fillId="0" borderId="81" xfId="0" applyNumberFormat="1" applyBorder="1"/>
    <xf numFmtId="0" fontId="0" fillId="0" borderId="84" xfId="0" applyBorder="1" applyAlignment="1">
      <alignment horizontal="left" indent="1"/>
    </xf>
    <xf numFmtId="43" fontId="0" fillId="0" borderId="84" xfId="0" applyNumberFormat="1" applyBorder="1"/>
    <xf numFmtId="0" fontId="2" fillId="0" borderId="89" xfId="0" applyFont="1" applyBorder="1" applyAlignment="1">
      <alignment horizontal="center"/>
    </xf>
    <xf numFmtId="0" fontId="0" fillId="0" borderId="90" xfId="0" applyBorder="1" applyAlignment="1">
      <alignment horizontal="left" indent="1"/>
    </xf>
    <xf numFmtId="43" fontId="0" fillId="0" borderId="90" xfId="0" applyNumberFormat="1" applyBorder="1"/>
    <xf numFmtId="43" fontId="2" fillId="20" borderId="87" xfId="0" applyNumberFormat="1" applyFont="1" applyFill="1" applyBorder="1"/>
    <xf numFmtId="43" fontId="2" fillId="20" borderId="88" xfId="0" applyNumberFormat="1" applyFont="1" applyFill="1" applyBorder="1"/>
    <xf numFmtId="43" fontId="2" fillId="0" borderId="91" xfId="0" applyNumberFormat="1" applyFont="1" applyBorder="1" applyAlignment="1">
      <alignment vertical="center"/>
    </xf>
    <xf numFmtId="43" fontId="0" fillId="6" borderId="0" xfId="0" applyNumberFormat="1" applyFill="1"/>
    <xf numFmtId="43" fontId="0" fillId="5" borderId="0" xfId="0" applyNumberFormat="1" applyFill="1"/>
    <xf numFmtId="43" fontId="0" fillId="5" borderId="81" xfId="0" applyNumberFormat="1" applyFill="1" applyBorder="1"/>
    <xf numFmtId="43" fontId="0" fillId="5" borderId="78" xfId="0" applyNumberFormat="1" applyFill="1" applyBorder="1"/>
    <xf numFmtId="43" fontId="0" fillId="5" borderId="84" xfId="0" applyNumberFormat="1" applyFill="1" applyBorder="1"/>
    <xf numFmtId="43" fontId="0" fillId="6" borderId="78" xfId="0" applyNumberFormat="1" applyFill="1" applyBorder="1"/>
    <xf numFmtId="43" fontId="0" fillId="6" borderId="84" xfId="0" applyNumberFormat="1" applyFill="1" applyBorder="1"/>
    <xf numFmtId="43" fontId="0" fillId="6" borderId="81" xfId="0" applyNumberFormat="1" applyFill="1" applyBorder="1"/>
    <xf numFmtId="43" fontId="0" fillId="21" borderId="78" xfId="0" applyNumberFormat="1" applyFill="1" applyBorder="1"/>
    <xf numFmtId="43" fontId="0" fillId="21" borderId="90" xfId="0" applyNumberFormat="1" applyFill="1" applyBorder="1"/>
    <xf numFmtId="16" fontId="4" fillId="0" borderId="0" xfId="0" applyNumberFormat="1" applyFont="1" applyAlignment="1">
      <alignment horizontal="center" vertical="center"/>
    </xf>
    <xf numFmtId="0" fontId="30" fillId="0" borderId="0" xfId="0" applyFont="1" applyAlignment="1">
      <alignment vertical="top" wrapText="1"/>
    </xf>
    <xf numFmtId="0" fontId="32" fillId="5" borderId="10" xfId="3" applyFont="1" applyFill="1" applyBorder="1" applyAlignment="1">
      <alignment horizontal="center" vertical="center"/>
    </xf>
    <xf numFmtId="0" fontId="32" fillId="5" borderId="62" xfId="3" applyFont="1" applyFill="1" applyBorder="1" applyAlignment="1">
      <alignment horizontal="center" vertical="center"/>
    </xf>
    <xf numFmtId="0" fontId="32" fillId="5" borderId="58" xfId="3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12" borderId="8" xfId="3" quotePrefix="1" applyFont="1" applyFill="1" applyBorder="1" applyAlignment="1">
      <alignment horizontal="center" vertical="center"/>
    </xf>
    <xf numFmtId="0" fontId="2" fillId="12" borderId="8" xfId="3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6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10" xfId="3" applyFont="1" applyFill="1" applyBorder="1" applyAlignment="1">
      <alignment horizontal="center" vertical="center"/>
    </xf>
    <xf numFmtId="0" fontId="2" fillId="6" borderId="11" xfId="3" applyFont="1" applyFill="1" applyBorder="1" applyAlignment="1">
      <alignment horizontal="center" vertical="center"/>
    </xf>
    <xf numFmtId="0" fontId="2" fillId="6" borderId="12" xfId="3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0" xfId="3" applyFont="1" applyFill="1" applyBorder="1" applyAlignment="1">
      <alignment horizontal="center" vertical="center"/>
    </xf>
    <xf numFmtId="0" fontId="2" fillId="5" borderId="11" xfId="3" applyFont="1" applyFill="1" applyBorder="1" applyAlignment="1">
      <alignment horizontal="center" vertical="center"/>
    </xf>
    <xf numFmtId="0" fontId="2" fillId="5" borderId="12" xfId="3" applyFont="1" applyFill="1" applyBorder="1" applyAlignment="1">
      <alignment horizontal="center" vertical="center"/>
    </xf>
    <xf numFmtId="0" fontId="36" fillId="18" borderId="8" xfId="0" applyFont="1" applyFill="1" applyBorder="1" applyAlignment="1">
      <alignment horizontal="left" vertical="center" wrapText="1"/>
    </xf>
    <xf numFmtId="0" fontId="37" fillId="18" borderId="8" xfId="0" applyFont="1" applyFill="1" applyBorder="1" applyAlignment="1">
      <alignment horizontal="left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left" vertical="center" wrapText="1"/>
    </xf>
    <xf numFmtId="0" fontId="35" fillId="17" borderId="63" xfId="0" applyFont="1" applyFill="1" applyBorder="1" applyAlignment="1">
      <alignment horizontal="center" vertical="center" wrapText="1"/>
    </xf>
    <xf numFmtId="0" fontId="35" fillId="17" borderId="64" xfId="0" applyFont="1" applyFill="1" applyBorder="1" applyAlignment="1">
      <alignment horizontal="center" vertical="center" wrapText="1"/>
    </xf>
    <xf numFmtId="0" fontId="35" fillId="17" borderId="65" xfId="0" applyFont="1" applyFill="1" applyBorder="1" applyAlignment="1">
      <alignment horizontal="center" vertical="center" wrapText="1"/>
    </xf>
    <xf numFmtId="0" fontId="35" fillId="17" borderId="8" xfId="0" applyFont="1" applyFill="1" applyBorder="1" applyAlignment="1">
      <alignment horizontal="center" vertical="center" wrapText="1"/>
    </xf>
    <xf numFmtId="0" fontId="36" fillId="5" borderId="8" xfId="0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center" vertical="center"/>
    </xf>
    <xf numFmtId="0" fontId="2" fillId="20" borderId="42" xfId="0" applyFont="1" applyFill="1" applyBorder="1" applyAlignment="1">
      <alignment horizontal="center" vertical="center"/>
    </xf>
    <xf numFmtId="0" fontId="2" fillId="20" borderId="92" xfId="0" applyFont="1" applyFill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43" fontId="2" fillId="0" borderId="79" xfId="0" applyNumberFormat="1" applyFont="1" applyBorder="1" applyAlignment="1">
      <alignment horizontal="center" vertical="center"/>
    </xf>
    <xf numFmtId="43" fontId="2" fillId="0" borderId="82" xfId="0" applyNumberFormat="1" applyFont="1" applyBorder="1" applyAlignment="1">
      <alignment horizontal="center" vertical="center"/>
    </xf>
    <xf numFmtId="43" fontId="2" fillId="0" borderId="85" xfId="0" applyNumberFormat="1" applyFont="1" applyBorder="1" applyAlignment="1">
      <alignment horizontal="center" vertical="center"/>
    </xf>
    <xf numFmtId="0" fontId="2" fillId="20" borderId="86" xfId="0" applyFont="1" applyFill="1" applyBorder="1" applyAlignment="1">
      <alignment horizontal="center"/>
    </xf>
    <xf numFmtId="0" fontId="2" fillId="20" borderId="87" xfId="0" applyFont="1" applyFill="1" applyBorder="1" applyAlignment="1">
      <alignment horizontal="center"/>
    </xf>
    <xf numFmtId="0" fontId="2" fillId="0" borderId="77" xfId="0" applyFont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 wrapText="1"/>
    </xf>
    <xf numFmtId="0" fontId="2" fillId="19" borderId="75" xfId="0" applyFont="1" applyFill="1" applyBorder="1" applyAlignment="1">
      <alignment horizontal="center"/>
    </xf>
    <xf numFmtId="0" fontId="2" fillId="19" borderId="50" xfId="0" applyFont="1" applyFill="1" applyBorder="1" applyAlignment="1">
      <alignment horizontal="center"/>
    </xf>
  </cellXfs>
  <cellStyles count="8">
    <cellStyle name="Collegamento ipertestuale" xfId="7" builtinId="8"/>
    <cellStyle name="Comma 2" xfId="4" xr:uid="{031B5E70-EAE8-4C7C-8AB8-5054FD475B74}"/>
    <cellStyle name="Migliaia" xfId="1" builtinId="3"/>
    <cellStyle name="Normal 2" xfId="3" xr:uid="{D096000A-880E-46C4-9306-319C9F2BE52F}"/>
    <cellStyle name="Normale" xfId="0" builtinId="0"/>
    <cellStyle name="Normale 3" xfId="6" xr:uid="{32A2FD9E-2066-467F-BA99-9885D62ED00B}"/>
    <cellStyle name="Percent 2" xfId="5" xr:uid="{A3467E19-E8A9-478F-BB94-42D94855D1C0}"/>
    <cellStyle name="Percentuale" xfId="2" builtinId="5"/>
  </cellStyles>
  <dxfs count="1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7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7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7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7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color rgb="FFC00000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2CC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F2CC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92D050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75B8"/>
        <name val="Aptos Narrow"/>
        <family val="2"/>
        <scheme val="minor"/>
      </font>
      <alignment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/>
        <outline val="0"/>
        <shadow val="0"/>
        <u val="none"/>
        <vertAlign val="baseline"/>
        <sz val="11"/>
        <name val="Calibri"/>
        <family val="2"/>
      </font>
      <alignment vertical="center" textRotation="0" indent="0" justifyLastLine="0" shrinkToFit="0" readingOrder="0"/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</dxf>
    <dxf>
      <numFmt numFmtId="166" formatCode="#,##0.00\ &quot;€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66" formatCode="#,##0.00\ &quot;€&quot;"/>
      <alignment vertical="center" textRotation="0" indent="0" justifyLastLine="0" shrinkToFit="0" readingOrder="0"/>
    </dxf>
    <dxf>
      <numFmt numFmtId="166" formatCode="#,##0.00\ &quot;€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66" formatCode="#,##0.00\ &quot;€&quot;"/>
      <alignment vertical="center" textRotation="0" indent="0" justifyLastLine="0" shrinkToFit="0" readingOrder="0"/>
    </dxf>
    <dxf>
      <numFmt numFmtId="166" formatCode="#,##0.00\ &quot;€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64" formatCode="dd/mm/yy;@"/>
      <alignment horizontal="center" vertical="center" textRotation="0" wrapText="0" indent="0" justifyLastLine="0" shrinkToFit="0" readingOrder="0"/>
    </dxf>
    <dxf>
      <numFmt numFmtId="166" formatCode="#,##0.00\ &quot;€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30" formatCode="@"/>
      <alignment vertical="center" textRotation="0" indent="0" justifyLastLine="0" shrinkToFit="0" readingOrder="0"/>
    </dxf>
    <dxf>
      <numFmt numFmtId="166" formatCode="#,##0.00\ &quot;€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66" formatCode="#,##0.00\ &quot;€&quot;"/>
      <alignment vertical="center" textRotation="0" indent="0" justifyLastLine="0" shrinkToFit="0" readingOrder="0"/>
    </dxf>
    <dxf>
      <numFmt numFmtId="166" formatCode="#,##0.00\ &quot;€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66" formatCode="#,##0.00\ &quot;€&quot;"/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66" formatCode="#,##0.00\ &quot;€&quot;"/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73" formatCode="dd/mm/yyyy"/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3" formatCode="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vertical="center" textRotation="0" indent="0" justifyLastLine="0" shrinkToFit="0" readingOrder="0"/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_-* #,##0.000_-;\-* #,##0.00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_-* #,##0.000_-;\-* #,##0.00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_-* #,##0.000_-;\-* #,##0.00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_-* #,##0.000_-;\-* #,##0.0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#,##0.00\ &quot;€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dd/mm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vertical="center" textRotation="0" indent="0" justifyLastLine="0" shrinkToFit="0" readingOrder="0"/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6" formatCode="#,##0.00\ &quot;€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6" formatCode="#,##0.00\ &quot;€&quot;"/>
      <alignment vertical="center" textRotation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solid">
          <fgColor indexed="64"/>
          <bgColor rgb="FFFFF2CC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2CC"/>
      <color rgb="FFD6DCE5"/>
      <color rgb="FF4472C4"/>
      <color rgb="FFDDEBF7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100" b="1">
                <a:solidFill>
                  <a:sysClr val="windowText" lastClr="000000"/>
                </a:solidFill>
              </a:rPr>
              <a:t>AVANZAMENTO CONTRATTO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66E-4D9C-9EAD-1654BBC57114}"/>
              </c:ext>
            </c:extLst>
          </c:dPt>
          <c:dPt>
            <c:idx val="1"/>
            <c:bubble3D val="0"/>
            <c:spPr>
              <a:solidFill>
                <a:srgbClr val="D6DCE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6E-4D9C-9EAD-1654BBC57114}"/>
              </c:ext>
            </c:extLst>
          </c:dPt>
          <c:dLbls>
            <c:dLbl>
              <c:idx val="0"/>
              <c:layout>
                <c:manualLayout>
                  <c:x val="0.27185249961205216"/>
                  <c:y val="-5.687441422342875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6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822479460530543"/>
                      <c:h val="0.172375050391504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66E-4D9C-9EAD-1654BBC57114}"/>
                </c:ext>
              </c:extLst>
            </c:dLbl>
            <c:dLbl>
              <c:idx val="1"/>
              <c:layout>
                <c:manualLayout>
                  <c:x val="-0.30204176931871246"/>
                  <c:y val="4.5708306426786383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973829744093129"/>
                      <c:h val="0.200238922540084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66E-4D9C-9EAD-1654BBC571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'CHECK CON POSTE'!$B$4:$B$5</c:f>
              <c:strCache>
                <c:ptCount val="2"/>
                <c:pt idx="0">
                  <c:v>Ordinato</c:v>
                </c:pt>
                <c:pt idx="1">
                  <c:v>Residuo</c:v>
                </c:pt>
              </c:strCache>
            </c:strRef>
          </c:cat>
          <c:val>
            <c:numRef>
              <c:f>'CHECK CON POSTE'!$C$4:$C$5</c:f>
              <c:numCache>
                <c:formatCode>"€"#,##0.00_);[Red]\("€"#,##0.00\)</c:formatCode>
                <c:ptCount val="2"/>
                <c:pt idx="0">
                  <c:v>38658</c:v>
                </c:pt>
                <c:pt idx="1">
                  <c:v>6834390.9500000002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E-4D9C-9EAD-1654BBC57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100" b="1">
                <a:solidFill>
                  <a:schemeClr val="tx1"/>
                </a:solidFill>
                <a:latin typeface="Aptos" panose="020B0004020202020204" pitchFamily="34" charset="0"/>
              </a:rPr>
              <a:t>AVANZAMENTO ECONOMICS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'CHECK CON POSTE'!$F$3:$F$6</c15:sqref>
                  </c15:fullRef>
                </c:ext>
              </c:extLst>
              <c:f>'CHECK CON POSTE'!$F$3:$F$5</c:f>
              <c:strCache>
                <c:ptCount val="3"/>
                <c:pt idx="0">
                  <c:v>Approvato</c:v>
                </c:pt>
                <c:pt idx="1">
                  <c:v>Ordinato</c:v>
                </c:pt>
                <c:pt idx="2">
                  <c:v>Avanzato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'CHECK CON POSTE'!$G$3:$G$6</c15:sqref>
                  </c15:fullRef>
                </c:ext>
              </c:extLst>
              <c:f>'CHECK CON POSTE'!$G$3:$G$5</c:f>
              <c:numCache>
                <c:formatCode>#,##0.00\ "€"</c:formatCode>
                <c:ptCount val="3"/>
                <c:pt idx="0">
                  <c:v>1586473.68</c:v>
                </c:pt>
                <c:pt idx="1">
                  <c:v>38658</c:v>
                </c:pt>
                <c:pt idx="2" formatCode="&quot;€&quot;#,##0.00_);[Red]\(&quot;€&quot;#,##0.00\)">
                  <c:v>19329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7-4ED2-A467-B8F891901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88993824"/>
        <c:axId val="1488990224"/>
      </c:barChart>
      <c:lineChart>
        <c:grouping val="standard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801EE632-1F2E-4BF4-87E8-BFC433B6E189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6B7-4ED2-A467-B8F8919010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11E5DCF-64A2-EA42-9D48-44255912EF07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6B7-4ED2-A467-B8F8919010D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0826A30-0EA1-354F-8869-024F0B3737B8}" type="CELLRANGE">
                      <a:rPr lang="it-IT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6B7-4ED2-A467-B8F8919010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'CHECK CON POSTE'!$F$3:$F$6</c15:sqref>
                  </c15:fullRef>
                </c:ext>
              </c:extLst>
              <c:f>'CHECK CON POSTE'!$F$3:$F$5</c:f>
              <c:strCache>
                <c:ptCount val="3"/>
                <c:pt idx="0">
                  <c:v>Approvato</c:v>
                </c:pt>
                <c:pt idx="1">
                  <c:v>Ordinato</c:v>
                </c:pt>
                <c:pt idx="2">
                  <c:v>Avanzato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'CHECK CON POSTE'!$H$3:$H$6</c15:sqref>
                  </c15:fullRef>
                </c:ext>
              </c:extLst>
              <c:f>'CHECK CON POSTE'!$H$3:$H$5</c:f>
              <c:numCache>
                <c:formatCode>0%</c:formatCode>
                <c:ptCount val="3"/>
                <c:pt idx="0">
                  <c:v>0.2308253137059354</c:v>
                </c:pt>
                <c:pt idx="1">
                  <c:v>5.6245780120626086E-3</c:v>
                </c:pt>
                <c:pt idx="2">
                  <c:v>2.8122890060313043E-3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'CHECK CON POSTE'!$G$3:$G$6</c15:f>
                <c15:dlblRangeCache>
                  <c:ptCount val="4"/>
                  <c:pt idx="0">
                    <c:v>1.586.473,68 €</c:v>
                  </c:pt>
                  <c:pt idx="1">
                    <c:v>38.658,00 €</c:v>
                  </c:pt>
                  <c:pt idx="2">
                    <c:v>19.329,00 €</c:v>
                  </c:pt>
                  <c:pt idx="3">
                    <c:v>19.329,00 €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6B7-4ED2-A467-B8F891901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754896"/>
        <c:axId val="1489754536"/>
      </c:lineChart>
      <c:catAx>
        <c:axId val="148899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8990224"/>
        <c:crossesAt val="0"/>
        <c:auto val="1"/>
        <c:lblAlgn val="ctr"/>
        <c:lblOffset val="100"/>
        <c:noMultiLvlLbl val="0"/>
      </c:catAx>
      <c:valAx>
        <c:axId val="1488990224"/>
        <c:scaling>
          <c:orientation val="minMax"/>
          <c:max val="6873048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8993824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</c:dispUnitsLbl>
        </c:dispUnits>
      </c:valAx>
      <c:valAx>
        <c:axId val="1489754536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9754896"/>
        <c:crosses val="max"/>
        <c:crossBetween val="between"/>
      </c:valAx>
      <c:catAx>
        <c:axId val="1489754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754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100" b="1">
                <a:solidFill>
                  <a:schemeClr val="tx1"/>
                </a:solidFill>
                <a:latin typeface="Aptos" panose="020B0004020202020204" pitchFamily="34" charset="0"/>
              </a:rPr>
              <a:t> </a:t>
            </a:r>
            <a:r>
              <a:rPr lang="it-IT" sz="1100" b="1" baseline="0">
                <a:solidFill>
                  <a:schemeClr val="tx1"/>
                </a:solidFill>
                <a:latin typeface="Aptos" panose="020B0004020202020204" pitchFamily="34" charset="0"/>
              </a:rPr>
              <a:t>INIZIATIVE APPROVATE PER RELEASE</a:t>
            </a:r>
            <a:endParaRPr lang="it-IT" sz="1100" b="1">
              <a:solidFill>
                <a:schemeClr val="tx1"/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'CHECK CON POSTE'!$C$19:$G$19</c:f>
              <c:strCache>
                <c:ptCount val="5"/>
                <c:pt idx="0">
                  <c:v>R.26.03</c:v>
                </c:pt>
                <c:pt idx="1">
                  <c:v>R.26.05</c:v>
                </c:pt>
                <c:pt idx="2">
                  <c:v>R.26.06</c:v>
                </c:pt>
                <c:pt idx="3">
                  <c:v>R.26.07</c:v>
                </c:pt>
                <c:pt idx="4">
                  <c:v>R.26.10</c:v>
                </c:pt>
              </c:strCache>
            </c:strRef>
          </c:cat>
          <c:val>
            <c:numRef>
              <c:f>'CHECK CON POSTE'!$C$39:$G$39</c:f>
              <c:numCache>
                <c:formatCode>#,##0.00\ "€"</c:formatCode>
                <c:ptCount val="5"/>
                <c:pt idx="0">
                  <c:v>13274.02</c:v>
                </c:pt>
                <c:pt idx="1">
                  <c:v>750941.92</c:v>
                </c:pt>
                <c:pt idx="2">
                  <c:v>250716.69</c:v>
                </c:pt>
                <c:pt idx="3">
                  <c:v>383303.32</c:v>
                </c:pt>
                <c:pt idx="4">
                  <c:v>188237.73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E-42E5-9BCD-8AC725C6C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337432"/>
        <c:axId val="2009337792"/>
      </c:barChart>
      <c:catAx>
        <c:axId val="200933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9337792"/>
        <c:crosses val="autoZero"/>
        <c:auto val="1"/>
        <c:lblAlgn val="ctr"/>
        <c:lblOffset val="100"/>
        <c:noMultiLvlLbl val="0"/>
      </c:catAx>
      <c:valAx>
        <c:axId val="200933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933743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100" b="1">
                <a:solidFill>
                  <a:schemeClr val="tx1"/>
                </a:solidFill>
                <a:latin typeface="Aptos" panose="020B0004020202020204" pitchFamily="34" charset="0"/>
              </a:rPr>
              <a:t>AVANZAMENTO</a:t>
            </a:r>
            <a:r>
              <a:rPr lang="it-IT" sz="1100" b="1" baseline="0">
                <a:solidFill>
                  <a:schemeClr val="tx1"/>
                </a:solidFill>
                <a:latin typeface="Aptos" panose="020B0004020202020204" pitchFamily="34" charset="0"/>
              </a:rPr>
              <a:t> TOW</a:t>
            </a:r>
            <a:endParaRPr lang="it-IT" sz="1100" b="1">
              <a:solidFill>
                <a:schemeClr val="tx1"/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CONTRATTO!$B$71:$B$76</c:f>
              <c:strCache>
                <c:ptCount val="6"/>
                <c:pt idx="0">
                  <c:v>TOW02.1</c:v>
                </c:pt>
                <c:pt idx="1">
                  <c:v>TOW02.2</c:v>
                </c:pt>
                <c:pt idx="2">
                  <c:v>TOW02.3</c:v>
                </c:pt>
                <c:pt idx="3">
                  <c:v>TOW02.4</c:v>
                </c:pt>
                <c:pt idx="4">
                  <c:v>TOW02.5</c:v>
                </c:pt>
                <c:pt idx="5">
                  <c:v>TOW02.6</c:v>
                </c:pt>
              </c:strCache>
            </c:strRef>
          </c:cat>
          <c:val>
            <c:numRef>
              <c:f>CONTRATTO!$J$71:$J$76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9-46F6-9866-3B867ED88E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9337432"/>
        <c:axId val="2009337792"/>
      </c:barChart>
      <c:catAx>
        <c:axId val="200933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9337792"/>
        <c:crosses val="autoZero"/>
        <c:auto val="1"/>
        <c:lblAlgn val="ctr"/>
        <c:lblOffset val="100"/>
        <c:noMultiLvlLbl val="0"/>
      </c:catAx>
      <c:valAx>
        <c:axId val="200933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9337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1272540</xdr:colOff>
      <xdr:row>72</xdr:row>
      <xdr:rowOff>30479</xdr:rowOff>
    </xdr:from>
    <xdr:to>
      <xdr:col>4</xdr:col>
      <xdr:colOff>594360</xdr:colOff>
      <xdr:row>79</xdr:row>
      <xdr:rowOff>153204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0FCCB2-859F-EAF6-B581-452C8882A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" y="13075919"/>
          <a:ext cx="2308860" cy="134954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43</xdr:row>
      <xdr:rowOff>173602</xdr:rowOff>
    </xdr:from>
    <xdr:to>
      <xdr:col>4</xdr:col>
      <xdr:colOff>713340</xdr:colOff>
      <xdr:row>54</xdr:row>
      <xdr:rowOff>153742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ACF195-EA46-3688-830B-6E2D9133C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328323</xdr:colOff>
      <xdr:row>48</xdr:row>
      <xdr:rowOff>128546</xdr:rowOff>
    </xdr:from>
    <xdr:to>
      <xdr:col>2</xdr:col>
      <xdr:colOff>785523</xdr:colOff>
      <xdr:row>50</xdr:row>
      <xdr:rowOff>42407</xdr:rowOff>
    </xdr:to>
    <xdr:sp macro="" textlink="$D$4">
      <xdr:nvSpPr>
        <xdr:cNvPr id="8" name="TextBox 7">
          <a:extLst>
            <a:ext uri="{FF2B5EF4-FFF2-40B4-BE49-F238E27FC236}">
              <a16:creationId xmlns:a16="http://schemas.microsoft.com/office/drawing/2014/main" id="{9F8D2045-9B96-4304-B866-6D7F3CD1A4F8}"/>
            </a:ext>
          </a:extLst>
        </xdr:cNvPr>
        <xdr:cNvSpPr txBox="1"/>
      </xdr:nvSpPr>
      <xdr:spPr>
        <a:xfrm>
          <a:off x="1783743" y="8967746"/>
          <a:ext cx="457200" cy="264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9DBF9F6-E6C8-4628-8A50-3673114532A7}" type="TxLink">
            <a:rPr lang="en-US" sz="1200" b="1" i="0" u="none" strike="noStrike">
              <a:solidFill>
                <a:sysClr val="windowText" lastClr="000000"/>
              </a:solidFill>
              <a:latin typeface="Aptos Narrow"/>
              <a:cs typeface="Calibri"/>
            </a:rPr>
            <a:pPr algn="ctr"/>
            <a:t>1%</a:t>
          </a:fld>
          <a:endParaRPr lang="it-IT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</xdr:colOff>
      <xdr:row>44</xdr:row>
      <xdr:rowOff>0</xdr:rowOff>
    </xdr:from>
    <xdr:to>
      <xdr:col>9</xdr:col>
      <xdr:colOff>164701</xdr:colOff>
      <xdr:row>54</xdr:row>
      <xdr:rowOff>155400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198F1F2-4749-4DFB-A1DF-4BB2E4883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</xdr:colOff>
      <xdr:row>55</xdr:row>
      <xdr:rowOff>167640</xdr:rowOff>
    </xdr:from>
    <xdr:to>
      <xdr:col>4</xdr:col>
      <xdr:colOff>728580</xdr:colOff>
      <xdr:row>66</xdr:row>
      <xdr:rowOff>147780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D4F7AAC-9A16-46B5-A4FB-A876CA595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56</xdr:row>
      <xdr:rowOff>0</xdr:rowOff>
    </xdr:from>
    <xdr:to>
      <xdr:col>9</xdr:col>
      <xdr:colOff>164700</xdr:colOff>
      <xdr:row>66</xdr:row>
      <xdr:rowOff>155400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609166-A694-43FD-981B-CCA8820DD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lo', Stefano" refreshedDate="46147.543451736114" createdVersion="8" refreshedVersion="8" minRefreshableVersion="3" recordCount="51" xr:uid="{65B1D17F-B487-4493-917D-A1102109AA3C}">
  <cacheSource type="worksheet">
    <worksheetSource name="MEV[[ID]:[Importo Fornitura]]"/>
  </cacheSource>
  <cacheFields count="13">
    <cacheField name="ID" numFmtId="0">
      <sharedItems containsString="0" containsBlank="1" containsNumber="1" containsInteger="1" minValue="1" maxValue="50"/>
    </cacheField>
    <cacheField name="GoTo" numFmtId="0">
      <sharedItems containsBlank="1" containsMixedTypes="1" containsNumber="1" containsInteger="1" minValue="134509" maxValue="143578" count="31">
        <n v="137341"/>
        <s v="TBD_SW"/>
        <s v="TBD_COLL"/>
        <n v="143247"/>
        <n v="141780"/>
        <n v="143578"/>
        <s v="TBD"/>
        <n v="141761"/>
        <s v="143247_IPER"/>
        <s v="143247_1"/>
        <s v="143247_F3"/>
        <s v="143247_F4"/>
        <s v="143247_ILP"/>
        <s v="143247_SCO"/>
        <s v="138512_F1"/>
        <s v="138512_F2"/>
        <n v="138512"/>
        <n v="142379"/>
        <n v="143509"/>
        <n v="142030"/>
        <n v="139552"/>
        <s v="139552_1"/>
        <n v="142669"/>
        <s v="PRESIDIO_01"/>
        <s v="141761_CR"/>
        <n v="141519"/>
        <n v="134627"/>
        <n v="136967"/>
        <n v="142461"/>
        <m/>
        <n v="134509" u="1"/>
      </sharedItems>
    </cacheField>
    <cacheField name="Applicativo" numFmtId="0">
      <sharedItems containsBlank="1" count="18">
        <s v="WIPI"/>
        <s v="RECUPERO"/>
        <s v="SORTING CONTROLLER"/>
        <s v="SAP EM / Mediation"/>
        <s v="NPSO"/>
        <s v="SEGUIMI"/>
        <s v="IPER_IPERSUITE"/>
        <s v="BEP"/>
        <s v="SP1"/>
        <s v="ILP"/>
        <s v="FMS"/>
        <s v="SGT"/>
        <s v="Presidio"/>
        <s v="SAP LES"/>
        <s v="NODO"/>
        <s v="SAD"/>
        <m/>
        <s v="IPER / IPERSUITE" u="1"/>
      </sharedItems>
    </cacheField>
    <cacheField name="X ORDINE" numFmtId="0">
      <sharedItems containsBlank="1"/>
    </cacheField>
    <cacheField name="Descrizione" numFmtId="0">
      <sharedItems containsBlank="1"/>
    </cacheField>
    <cacheField name="PM POSTE" numFmtId="0">
      <sharedItems containsBlank="1"/>
    </cacheField>
    <cacheField name="PM CAP" numFmtId="0">
      <sharedItems containsBlank="1"/>
    </cacheField>
    <cacheField name="Anno Competenza" numFmtId="0">
      <sharedItems containsString="0" containsBlank="1" containsNumber="1" containsInteger="1" minValue="2026" maxValue="2026"/>
    </cacheField>
    <cacheField name="Release" numFmtId="0">
      <sharedItems containsBlank="1" count="6">
        <s v="R.26.03_EXTRA"/>
        <s v="R.26.05"/>
        <s v="R.26.07"/>
        <s v="R.26.06"/>
        <s v="R.26.10"/>
        <m/>
      </sharedItems>
    </cacheField>
    <cacheField name="Capgemini" numFmtId="0">
      <sharedItems containsBlank="1"/>
    </cacheField>
    <cacheField name="IET" numFmtId="0">
      <sharedItems containsNonDate="0" containsString="0" containsBlank="1"/>
    </cacheField>
    <cacheField name="Stato" numFmtId="0">
      <sharedItems containsBlank="1" count="8">
        <s v="Approvato"/>
        <s v="Sviluppo interno"/>
        <s v="Eliminato"/>
        <s v="Sospeso"/>
        <s v="In approvazione"/>
        <s v="In analisi / Stima"/>
        <m/>
        <s v="In attesa requisiti Poste" u="1"/>
      </sharedItems>
    </cacheField>
    <cacheField name="Importo Fornitura" numFmtId="166">
      <sharedItems containsString="0" containsBlank="1" containsNumber="1" minValue="0" maxValue="55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1"/>
    <x v="0"/>
    <x v="0"/>
    <s v="137341_WIPI"/>
    <s v=" Elaborazione REVERSE ITZ PLUS_rev"/>
    <s v="Sugamiele"/>
    <s v="Fabbri"/>
    <n v="2026"/>
    <x v="0"/>
    <s v="x"/>
    <m/>
    <x v="0"/>
    <n v="9951.89"/>
  </r>
  <r>
    <n v="2"/>
    <x v="0"/>
    <x v="0"/>
    <s v="137341_WIPI"/>
    <s v=" Elaborazione REVERSE ITZ PLUS - file del 06.03_v1"/>
    <s v="Sugamiele"/>
    <s v="Fabbri"/>
    <n v="2026"/>
    <x v="0"/>
    <s v="x"/>
    <m/>
    <x v="0"/>
    <n v="3322.13"/>
  </r>
  <r>
    <n v="3"/>
    <x v="1"/>
    <x v="1"/>
    <s v="TBD_SW_RECUPERO"/>
    <s v="SW"/>
    <s v="Riggio"/>
    <m/>
    <n v="2026"/>
    <x v="1"/>
    <s v="x"/>
    <m/>
    <x v="0"/>
    <n v="551000"/>
  </r>
  <r>
    <n v="4"/>
    <x v="2"/>
    <x v="1"/>
    <s v="TBD_COLL_RECUPERO"/>
    <s v="Collaudo"/>
    <s v="Riggio"/>
    <m/>
    <n v="2026"/>
    <x v="1"/>
    <s v="x"/>
    <m/>
    <x v="0"/>
    <n v="65000"/>
  </r>
  <r>
    <n v="5"/>
    <x v="3"/>
    <x v="2"/>
    <s v="143247_SORTING CONTROLLER"/>
    <s v="Porting Gen 3"/>
    <s v="Sugamiele"/>
    <s v="Fabbri"/>
    <n v="2026"/>
    <x v="1"/>
    <s v="x"/>
    <m/>
    <x v="0"/>
    <n v="39673.269999999997"/>
  </r>
  <r>
    <n v="6"/>
    <x v="4"/>
    <x v="3"/>
    <s v="141780_SAP EM / Mediation"/>
    <s v="Logistica sanitaria e offerta pharma_evolutive 2026"/>
    <s v="Checchi"/>
    <s v="Mele"/>
    <n v="2026"/>
    <x v="2"/>
    <m/>
    <m/>
    <x v="1"/>
    <n v="0"/>
  </r>
  <r>
    <n v="7"/>
    <x v="5"/>
    <x v="4"/>
    <s v="143578_NPSO"/>
    <s v="Legge di bilancio_v1"/>
    <s v="Bianco"/>
    <s v="Fabbri"/>
    <n v="2026"/>
    <x v="1"/>
    <s v="x"/>
    <m/>
    <x v="0"/>
    <n v="17174.77"/>
  </r>
  <r>
    <n v="8"/>
    <x v="6"/>
    <x v="5"/>
    <s v="TBD_SEGUIMI"/>
    <s v="Patch Portali Seguimi Post OAM"/>
    <s v="Piumelli"/>
    <s v="Mele"/>
    <n v="2026"/>
    <x v="1"/>
    <m/>
    <m/>
    <x v="2"/>
    <n v="14977.77"/>
  </r>
  <r>
    <n v="9"/>
    <x v="7"/>
    <x v="6"/>
    <s v="141761_IPER_IPERSUITE"/>
    <s v="CR su Dazi USA"/>
    <s v="Sugamiele"/>
    <s v="Fabbri"/>
    <n v="2026"/>
    <x v="1"/>
    <s v="x"/>
    <m/>
    <x v="0"/>
    <n v="4821.05"/>
  </r>
  <r>
    <n v="10"/>
    <x v="7"/>
    <x v="7"/>
    <s v="141761_BEP"/>
    <s v="CR su Dazi USA"/>
    <s v="Mollo"/>
    <s v="Fabbri"/>
    <n v="2026"/>
    <x v="0"/>
    <m/>
    <m/>
    <x v="3"/>
    <n v="10779.68"/>
  </r>
  <r>
    <n v="11"/>
    <x v="6"/>
    <x v="7"/>
    <s v="TBD_BEP"/>
    <s v="Interventi Vari"/>
    <s v="Mollo"/>
    <s v="Fabbri"/>
    <n v="2026"/>
    <x v="1"/>
    <s v="x"/>
    <m/>
    <x v="0"/>
    <n v="34614.83"/>
  </r>
  <r>
    <n v="12"/>
    <x v="3"/>
    <x v="8"/>
    <s v="143247_SP1"/>
    <s v="HandlingFees Dogana"/>
    <s v="Sugamiele"/>
    <s v="Fabbri"/>
    <n v="2026"/>
    <x v="3"/>
    <s v="x"/>
    <m/>
    <x v="0"/>
    <n v="82448.460000000006"/>
  </r>
  <r>
    <n v="13"/>
    <x v="3"/>
    <x v="9"/>
    <s v="143247_ILP"/>
    <s v="HandlingFees Dogana"/>
    <s v="Sugamiele"/>
    <s v="Fabbri"/>
    <n v="2026"/>
    <x v="2"/>
    <s v="x"/>
    <m/>
    <x v="0"/>
    <n v="37889.339999999997"/>
  </r>
  <r>
    <n v="14"/>
    <x v="3"/>
    <x v="6"/>
    <s v="143247_IPER_IPERSUITE"/>
    <s v="HandlingFees Dogana"/>
    <s v="Sugamiele"/>
    <s v="Fabbri"/>
    <n v="2026"/>
    <x v="3"/>
    <s v="x"/>
    <m/>
    <x v="0"/>
    <n v="73276.61"/>
  </r>
  <r>
    <n v="15"/>
    <x v="8"/>
    <x v="6"/>
    <s v="143247_IPER_IPER_IPERSUITE"/>
    <s v="Rientri sicurezza CodeReview"/>
    <s v="Sugamiele"/>
    <s v="Fabbri"/>
    <n v="2026"/>
    <x v="3"/>
    <s v="x"/>
    <m/>
    <x v="0"/>
    <n v="94991.62"/>
  </r>
  <r>
    <n v="16"/>
    <x v="9"/>
    <x v="2"/>
    <s v="143247_1_SORTING CONTROLLER"/>
    <s v="HandlingFees Dogana"/>
    <s v="Sugamiele"/>
    <s v="Fabbri"/>
    <n v="2026"/>
    <x v="2"/>
    <s v="x"/>
    <m/>
    <x v="0"/>
    <n v="7095.44"/>
  </r>
  <r>
    <n v="17"/>
    <x v="10"/>
    <x v="6"/>
    <s v="143247_F3_IPER_IPERSUITE"/>
    <s v="Interventi spuri ITZ (fase 3)"/>
    <s v="Sugamiele"/>
    <s v="Fabbri"/>
    <n v="2026"/>
    <x v="2"/>
    <s v="x"/>
    <m/>
    <x v="0"/>
    <n v="9311.09"/>
  </r>
  <r>
    <n v="18"/>
    <x v="11"/>
    <x v="6"/>
    <s v="143247_F4_IPER_IPERSUITE"/>
    <s v="Interventi spuri ITZ (fase 4)"/>
    <s v="Sugamiele"/>
    <s v="Fabbri"/>
    <n v="2026"/>
    <x v="2"/>
    <s v="x"/>
    <m/>
    <x v="0"/>
    <n v="12831.19"/>
  </r>
  <r>
    <n v="19"/>
    <x v="11"/>
    <x v="9"/>
    <s v="143247_F4_ILP"/>
    <s v="Interventi spuri ITZ (fase 4)"/>
    <s v="Sugamiele"/>
    <s v="Fabbri"/>
    <n v="2026"/>
    <x v="2"/>
    <s v="x"/>
    <m/>
    <x v="0"/>
    <n v="30658.99"/>
  </r>
  <r>
    <n v="20"/>
    <x v="12"/>
    <x v="9"/>
    <s v="143247_ILP_ILP"/>
    <s v="Rientri sicurezza CodeReview"/>
    <s v="Sugamiele"/>
    <s v="Fabbri"/>
    <n v="2026"/>
    <x v="2"/>
    <s v="x"/>
    <m/>
    <x v="0"/>
    <n v="74199.62"/>
  </r>
  <r>
    <n v="21"/>
    <x v="13"/>
    <x v="2"/>
    <s v="143247_SCO_SORTING CONTROLLER"/>
    <s v="Rientri sicurezza CodeReview"/>
    <s v="Sugamiele"/>
    <s v="Fabbri"/>
    <n v="2026"/>
    <x v="2"/>
    <s v="x"/>
    <m/>
    <x v="0"/>
    <n v="9232.27"/>
  </r>
  <r>
    <n v="22"/>
    <x v="14"/>
    <x v="4"/>
    <s v="138512_F1_NPSO"/>
    <s v="Accettazione multicliente - Fase 1"/>
    <s v="Bianco"/>
    <s v="Fabbri"/>
    <n v="2026"/>
    <x v="2"/>
    <s v="x"/>
    <m/>
    <x v="0"/>
    <n v="151860.23000000001"/>
  </r>
  <r>
    <n v="23"/>
    <x v="15"/>
    <x v="4"/>
    <s v="138512_F2_NPSO"/>
    <s v="Accettazione multicliente - Fase 2"/>
    <s v="Bianco"/>
    <s v="Fabbri"/>
    <n v="2026"/>
    <x v="4"/>
    <m/>
    <m/>
    <x v="4"/>
    <n v="386030.25"/>
  </r>
  <r>
    <n v="24"/>
    <x v="16"/>
    <x v="3"/>
    <s v="138512_SAP EM / Mediation"/>
    <s v="Accettazione multicliente"/>
    <s v="Checchi"/>
    <s v="Mele"/>
    <n v="2026"/>
    <x v="2"/>
    <m/>
    <m/>
    <x v="5"/>
    <m/>
  </r>
  <r>
    <n v="25"/>
    <x v="4"/>
    <x v="7"/>
    <s v="141780_BEP"/>
    <s v="Logistica sanitaria e offerta pharma (add on)"/>
    <s v="Bianco"/>
    <s v="Fabbri"/>
    <n v="2026"/>
    <x v="2"/>
    <s v="x"/>
    <m/>
    <x v="0"/>
    <n v="24865.759999999998"/>
  </r>
  <r>
    <n v="26"/>
    <x v="4"/>
    <x v="3"/>
    <s v="141780_SAP EM / Mediation"/>
    <s v="Logistica sanitaria e offerta pharma"/>
    <s v="Checchi"/>
    <s v="Mele"/>
    <n v="2026"/>
    <x v="2"/>
    <m/>
    <m/>
    <x v="2"/>
    <m/>
  </r>
  <r>
    <n v="27"/>
    <x v="17"/>
    <x v="10"/>
    <s v="142379_FMS"/>
    <s v="Gestione FC Jolly"/>
    <s v="Galanti"/>
    <s v="Pallotti"/>
    <n v="2026"/>
    <x v="4"/>
    <m/>
    <m/>
    <x v="4"/>
    <n v="107225.58"/>
  </r>
  <r>
    <n v="28"/>
    <x v="18"/>
    <x v="4"/>
    <s v="143509_NPSO"/>
    <s v="Gara ENEL"/>
    <s v="Bianco"/>
    <s v="Fabbri"/>
    <n v="2026"/>
    <x v="2"/>
    <m/>
    <m/>
    <x v="4"/>
    <n v="19280.95"/>
  </r>
  <r>
    <n v="29"/>
    <x v="19"/>
    <x v="11"/>
    <s v="142030_SGT"/>
    <s v="Accollatari Fase2"/>
    <s v="Galanti"/>
    <s v="Belli"/>
    <n v="2026"/>
    <x v="4"/>
    <m/>
    <m/>
    <x v="3"/>
    <n v="9944.3799999999992"/>
  </r>
  <r>
    <n v="30"/>
    <x v="20"/>
    <x v="7"/>
    <s v="139552_BEP"/>
    <s v="Supplemento PDB per ritiro in sede diversa da quella certificata"/>
    <s v="Mollo"/>
    <s v="Fabbri"/>
    <n v="2026"/>
    <x v="4"/>
    <s v="x"/>
    <m/>
    <x v="0"/>
    <n v="1237.73"/>
  </r>
  <r>
    <n v="31"/>
    <x v="21"/>
    <x v="7"/>
    <s v="139552_1_BEP"/>
    <s v="Supplemento PDB per ritiro in sede diversa da quella certificata"/>
    <s v="Mollo"/>
    <s v="Fabbri"/>
    <n v="2026"/>
    <x v="4"/>
    <m/>
    <m/>
    <x v="4"/>
    <n v="27856.240000000002"/>
  </r>
  <r>
    <n v="32"/>
    <x v="22"/>
    <x v="4"/>
    <s v="142669_NPSO"/>
    <s v="Inibizione contenuto merce assicurata estera"/>
    <s v="Bianco"/>
    <s v="Fabbri"/>
    <n v="2026"/>
    <x v="4"/>
    <m/>
    <m/>
    <x v="4"/>
    <n v="6014.36"/>
  </r>
  <r>
    <n v="33"/>
    <x v="23"/>
    <x v="12"/>
    <s v="PRESIDIO_01_Presidio"/>
    <s v="Gen-Giu 2026"/>
    <s v="Riggio"/>
    <m/>
    <n v="2026"/>
    <x v="1"/>
    <s v="x"/>
    <m/>
    <x v="0"/>
    <n v="38658"/>
  </r>
  <r>
    <n v="34"/>
    <x v="6"/>
    <x v="13"/>
    <s v="TBD_SAP LES"/>
    <s v="GARA ADE CORRISPONDENZA - flusso da sedi"/>
    <s v="Galanti"/>
    <s v="Mele"/>
    <n v="2026"/>
    <x v="2"/>
    <m/>
    <m/>
    <x v="4"/>
    <n v="3231.51"/>
  </r>
  <r>
    <n v="35"/>
    <x v="6"/>
    <x v="7"/>
    <s v="TBD_BEP"/>
    <s v="Migrazione a github x BEP"/>
    <s v="Mollo"/>
    <s v="Fabbri"/>
    <n v="2026"/>
    <x v="2"/>
    <s v="x"/>
    <m/>
    <x v="0"/>
    <n v="14772.12"/>
  </r>
  <r>
    <n v="36"/>
    <x v="6"/>
    <x v="7"/>
    <s v="TBD_BEP"/>
    <s v="Adeguamenti EURODIS x Cipro Grecia"/>
    <s v="Mollo"/>
    <s v="Fabbri"/>
    <n v="2026"/>
    <x v="2"/>
    <s v="x"/>
    <m/>
    <x v="0"/>
    <n v="3283.03"/>
  </r>
  <r>
    <n v="37"/>
    <x v="6"/>
    <x v="7"/>
    <s v="TBD_BEP"/>
    <s v="datamatrix content"/>
    <s v="Mollo"/>
    <s v="Fabbri"/>
    <n v="2026"/>
    <x v="2"/>
    <s v="x"/>
    <m/>
    <x v="0"/>
    <n v="3652.12"/>
  </r>
  <r>
    <n v="38"/>
    <x v="6"/>
    <x v="7"/>
    <s v="TBD_BEP"/>
    <s v="Antifrode xl-idcli5"/>
    <s v="Mollo"/>
    <s v="Fabbri"/>
    <n v="2026"/>
    <x v="2"/>
    <s v="x"/>
    <m/>
    <x v="0"/>
    <n v="3652.12"/>
  </r>
  <r>
    <n v="39"/>
    <x v="7"/>
    <x v="6"/>
    <s v="141761_IPER_IPERSUITE"/>
    <s v="Dazi US"/>
    <s v="Sugamiele"/>
    <s v="Fabbri"/>
    <n v="2026"/>
    <x v="0"/>
    <m/>
    <m/>
    <x v="6"/>
    <n v="130218.16"/>
  </r>
  <r>
    <n v="40"/>
    <x v="24"/>
    <x v="6"/>
    <s v="141761_CR_IPER_IPERSUITE"/>
    <s v="Dazi US"/>
    <s v="Sugamiele"/>
    <s v="Fabbri"/>
    <n v="2026"/>
    <x v="0"/>
    <m/>
    <m/>
    <x v="6"/>
    <n v="14712.38"/>
  </r>
  <r>
    <n v="41"/>
    <x v="7"/>
    <x v="7"/>
    <s v="141761_BEP"/>
    <s v="Dazi US"/>
    <s v="Mollo"/>
    <s v="Fabbri"/>
    <n v="2026"/>
    <x v="0"/>
    <m/>
    <m/>
    <x v="6"/>
    <n v="13662.43"/>
  </r>
  <r>
    <n v="42"/>
    <x v="7"/>
    <x v="3"/>
    <s v="141761_SAP EM / Mediation"/>
    <s v="Dazi US"/>
    <s v="Checchi"/>
    <s v="Mele"/>
    <n v="2026"/>
    <x v="0"/>
    <m/>
    <m/>
    <x v="6"/>
    <n v="29998.83"/>
  </r>
  <r>
    <n v="43"/>
    <x v="16"/>
    <x v="14"/>
    <s v="138512_NODO"/>
    <s v="Accettazione multicliente"/>
    <s v="Muru"/>
    <s v="Del Vecchio"/>
    <n v="2026"/>
    <x v="0"/>
    <m/>
    <m/>
    <x v="6"/>
    <n v="29999.84"/>
  </r>
  <r>
    <n v="44"/>
    <x v="25"/>
    <x v="14"/>
    <s v="141519_NODO"/>
    <s v="Integrazione Spedizioni Internazionali"/>
    <s v="Muru"/>
    <s v="Del Vecchio"/>
    <n v="2026"/>
    <x v="0"/>
    <m/>
    <m/>
    <x v="6"/>
    <n v="59998.71"/>
  </r>
  <r>
    <n v="45"/>
    <x v="26"/>
    <x v="15"/>
    <s v="134627_SAD"/>
    <s v="Semantica alfanumerica Ldv"/>
    <s v="Mazzini"/>
    <s v="Fabbri"/>
    <n v="2026"/>
    <x v="0"/>
    <m/>
    <m/>
    <x v="6"/>
    <n v="3027.52"/>
  </r>
  <r>
    <n v="46"/>
    <x v="27"/>
    <x v="3"/>
    <s v="136967_SAP EM / Mediation"/>
    <s v="Evolutive Doppio - Ingombranti"/>
    <s v="Checchi"/>
    <s v="Mele"/>
    <n v="2026"/>
    <x v="0"/>
    <m/>
    <m/>
    <x v="6"/>
    <n v="54999.95"/>
  </r>
  <r>
    <n v="47"/>
    <x v="28"/>
    <x v="10"/>
    <s v="142461_FMS"/>
    <s v="Gestione Nuovo Full Rent"/>
    <s v="Galanti"/>
    <s v="Pallotti"/>
    <n v="2026"/>
    <x v="4"/>
    <m/>
    <m/>
    <x v="4"/>
    <n v="2762.9"/>
  </r>
  <r>
    <n v="48"/>
    <x v="6"/>
    <x v="7"/>
    <s v="TBD_BEP"/>
    <s v="Antifrode JF7 Amazon"/>
    <s v="Mollo"/>
    <s v="Fabbri"/>
    <n v="2026"/>
    <x v="4"/>
    <m/>
    <m/>
    <x v="4"/>
    <n v="11073.64"/>
  </r>
  <r>
    <n v="49"/>
    <x v="6"/>
    <x v="8"/>
    <s v="TBD_SP1"/>
    <s v="Licenza e ticket primo trimestre"/>
    <s v="Sugamiele"/>
    <s v="Fabbri"/>
    <n v="2026"/>
    <x v="2"/>
    <m/>
    <m/>
    <x v="4"/>
    <n v="45000"/>
  </r>
  <r>
    <n v="50"/>
    <x v="6"/>
    <x v="7"/>
    <m/>
    <s v="Antifrode gestione cvv"/>
    <s v="Mollo"/>
    <s v="Fabbri"/>
    <n v="2026"/>
    <x v="4"/>
    <m/>
    <m/>
    <x v="4"/>
    <n v="56029.89"/>
  </r>
  <r>
    <m/>
    <x v="29"/>
    <x v="16"/>
    <m/>
    <m/>
    <m/>
    <m/>
    <m/>
    <x v="5"/>
    <m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1F987-EAB8-407F-B4C0-F25AF9EE5B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10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2"/>
        <item x="4"/>
        <item x="5"/>
        <item t="default"/>
      </items>
    </pivotField>
    <pivotField showAll="0"/>
    <pivotField showAll="0"/>
    <pivotField axis="axisCol" showAll="0">
      <items count="9">
        <item x="0"/>
        <item h="1" x="2"/>
        <item h="1" x="5"/>
        <item x="4"/>
        <item h="1" m="1" x="7"/>
        <item h="1" x="3"/>
        <item h="1" x="6"/>
        <item h="1" x="1"/>
        <item t="default"/>
      </items>
    </pivotField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3"/>
    </i>
    <i t="grand">
      <x/>
    </i>
  </colItems>
  <dataFields count="1">
    <dataField name="Sum of Importo Fornitura" fld="12" baseField="0" baseItem="0" numFmtId="43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3CEA8-E95A-4AB3-9D6A-D9A0A898BC8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E29" firstHeaderRow="1" firstDataRow="2" firstDataCol="1"/>
  <pivotFields count="13">
    <pivotField showAll="0"/>
    <pivotField showAll="0"/>
    <pivotField axis="axisRow" showAll="0">
      <items count="19">
        <item x="7"/>
        <item x="10"/>
        <item x="9"/>
        <item m="1" x="17"/>
        <item x="6"/>
        <item x="14"/>
        <item x="4"/>
        <item x="12"/>
        <item x="1"/>
        <item x="15"/>
        <item x="3"/>
        <item x="13"/>
        <item x="5"/>
        <item x="11"/>
        <item x="2"/>
        <item x="8"/>
        <item x="0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0"/>
        <item h="1" x="2"/>
        <item h="1" x="5"/>
        <item x="4"/>
        <item h="1" m="1" x="7"/>
        <item h="1" x="3"/>
        <item h="1" x="6"/>
        <item h="1" x="1"/>
        <item t="default"/>
      </items>
    </pivotField>
    <pivotField dataField="1" showAll="0"/>
  </pivotFields>
  <rowFields count="1">
    <field x="2"/>
  </rowFields>
  <rowItems count="12">
    <i>
      <x/>
    </i>
    <i>
      <x v="1"/>
    </i>
    <i>
      <x v="2"/>
    </i>
    <i>
      <x v="4"/>
    </i>
    <i>
      <x v="6"/>
    </i>
    <i>
      <x v="7"/>
    </i>
    <i>
      <x v="8"/>
    </i>
    <i>
      <x v="11"/>
    </i>
    <i>
      <x v="14"/>
    </i>
    <i>
      <x v="15"/>
    </i>
    <i>
      <x v="16"/>
    </i>
    <i t="grand">
      <x/>
    </i>
  </rowItems>
  <colFields count="1">
    <field x="11"/>
  </colFields>
  <colItems count="3">
    <i>
      <x/>
    </i>
    <i>
      <x v="3"/>
    </i>
    <i t="grand">
      <x/>
    </i>
  </colItems>
  <dataFields count="1">
    <dataField name="Sum of Importo Fornitura" fld="12" baseField="0" baseItem="0" numFmtId="43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3339B-7034-4ED4-9797-DF0CEEA74A1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8:E84" firstHeaderRow="1" firstDataRow="2" firstDataCol="1" rowPageCount="1" colPageCount="1"/>
  <pivotFields count="13">
    <pivotField showAll="0"/>
    <pivotField axis="axisRow" showAll="0">
      <items count="32">
        <item m="1" x="30"/>
        <item x="26"/>
        <item x="27"/>
        <item x="0"/>
        <item x="16"/>
        <item x="20"/>
        <item x="25"/>
        <item x="7"/>
        <item x="4"/>
        <item x="19"/>
        <item x="17"/>
        <item x="28"/>
        <item x="22"/>
        <item x="3"/>
        <item x="5"/>
        <item x="14"/>
        <item x="15"/>
        <item x="21"/>
        <item x="24"/>
        <item x="9"/>
        <item x="10"/>
        <item x="11"/>
        <item x="12"/>
        <item x="8"/>
        <item x="13"/>
        <item x="23"/>
        <item x="6"/>
        <item x="2"/>
        <item x="1"/>
        <item x="29"/>
        <item x="18"/>
        <item t="default"/>
      </items>
    </pivotField>
    <pivotField axis="axisRow" showAll="0">
      <items count="19">
        <item x="7"/>
        <item x="10"/>
        <item x="9"/>
        <item m="1" x="17"/>
        <item x="6"/>
        <item x="14"/>
        <item x="4"/>
        <item h="1" x="12"/>
        <item h="1" x="1"/>
        <item x="15"/>
        <item x="3"/>
        <item x="13"/>
        <item x="5"/>
        <item x="11"/>
        <item x="2"/>
        <item x="8"/>
        <item x="0"/>
        <item h="1" x="16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0"/>
        <item x="1"/>
        <item x="3"/>
        <item x="2"/>
        <item x="4"/>
        <item x="5"/>
        <item t="default"/>
      </items>
    </pivotField>
    <pivotField showAll="0"/>
    <pivotField showAll="0"/>
    <pivotField axis="axisPage" multipleItemSelectionAllowed="1" showAll="0">
      <items count="9">
        <item h="1" x="0"/>
        <item h="1" x="2"/>
        <item h="1" x="5"/>
        <item x="4"/>
        <item h="1" m="1" x="7"/>
        <item h="1" x="3"/>
        <item h="1" x="6"/>
        <item h="1" x="1"/>
        <item t="default"/>
      </items>
    </pivotField>
    <pivotField dataField="1" showAll="0"/>
  </pivotFields>
  <rowFields count="2">
    <field x="2"/>
    <field x="1"/>
  </rowFields>
  <rowItems count="15">
    <i>
      <x/>
    </i>
    <i r="1">
      <x v="17"/>
    </i>
    <i r="1">
      <x v="26"/>
    </i>
    <i>
      <x v="1"/>
    </i>
    <i r="1">
      <x v="10"/>
    </i>
    <i r="1">
      <x v="11"/>
    </i>
    <i>
      <x v="6"/>
    </i>
    <i r="1">
      <x v="12"/>
    </i>
    <i r="1">
      <x v="16"/>
    </i>
    <i r="1">
      <x v="30"/>
    </i>
    <i>
      <x v="11"/>
    </i>
    <i r="1">
      <x v="26"/>
    </i>
    <i>
      <x v="15"/>
    </i>
    <i r="1">
      <x v="26"/>
    </i>
    <i t="grand">
      <x/>
    </i>
  </rowItems>
  <colFields count="1">
    <field x="8"/>
  </colFields>
  <colItems count="3">
    <i>
      <x v="3"/>
    </i>
    <i>
      <x v="4"/>
    </i>
    <i t="grand">
      <x/>
    </i>
  </colItems>
  <pageFields count="1">
    <pageField fld="11" hier="-1"/>
  </pageFields>
  <dataFields count="1">
    <dataField name="Sum of Importo Fornitura" fld="12" baseField="0" baseItem="0" numFmtId="43"/>
  </dataFields>
  <formats count="6">
    <format dxfId="43">
      <pivotArea outline="0" collapsedLevelsAreSubtotals="1" fieldPosition="0"/>
    </format>
    <format dxfId="42">
      <pivotArea collapsedLevelsAreSubtotals="1" fieldPosition="0">
        <references count="3">
          <reference field="1" count="1">
            <x v="8"/>
          </reference>
          <reference field="2" count="1" selected="0">
            <x v="0"/>
          </reference>
          <reference field="8" count="1" selected="0">
            <x v="3"/>
          </reference>
        </references>
      </pivotArea>
    </format>
    <format dxfId="41">
      <pivotArea collapsedLevelsAreSubtotals="1" fieldPosition="0">
        <references count="3">
          <reference field="1" count="1">
            <x v="8"/>
          </reference>
          <reference field="2" count="1" selected="0">
            <x v="0"/>
          </reference>
          <reference field="8" count="1" selected="0">
            <x v="3"/>
          </reference>
        </references>
      </pivotArea>
    </format>
    <format dxfId="40">
      <pivotArea collapsedLevelsAreSubtotals="1" fieldPosition="0">
        <references count="3">
          <reference field="1" count="1">
            <x v="17"/>
          </reference>
          <reference field="2" count="1" selected="0">
            <x v="0"/>
          </reference>
          <reference field="8" count="1" selected="0">
            <x v="4"/>
          </reference>
        </references>
      </pivotArea>
    </format>
    <format dxfId="39">
      <pivotArea collapsedLevelsAreSubtotals="1" fieldPosition="0">
        <references count="3">
          <reference field="1" count="1">
            <x v="26"/>
          </reference>
          <reference field="2" count="1" selected="0">
            <x v="0"/>
          </reference>
          <reference field="8" count="1" selected="0">
            <x v="3"/>
          </reference>
        </references>
      </pivotArea>
    </format>
    <format dxfId="38">
      <pivotArea collapsedLevelsAreSubtotals="1" fieldPosition="0">
        <references count="3">
          <reference field="1" count="2">
            <x v="10"/>
            <x v="11"/>
          </reference>
          <reference field="2" count="1" selected="0">
            <x v="1"/>
          </reference>
          <reference field="8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AF9A4-5286-47F1-97D6-1EEB732211E1}" name="MEV" displayName="MEV" ref="A2:AI58" totalsRowCount="1" headerRowDxfId="147" dataDxfId="145" totalsRowDxfId="143" headerRowBorderDxfId="146" tableBorderDxfId="144">
  <autoFilter ref="A2:AI57" xr:uid="{BDFAF9A4-5286-47F1-97D6-1EEB732211E1}"/>
  <tableColumns count="35">
    <tableColumn id="1" xr3:uid="{625F119E-CBF8-47B2-9989-B4129A3F0AC0}" name="ID" totalsRowLabel="Totale" dataDxfId="142" totalsRowDxfId="34"/>
    <tableColumn id="23" xr3:uid="{D6089B33-7215-46DC-AC82-AD016C623CA1}" name="GoTo" dataDxfId="141" totalsRowDxfId="33"/>
    <tableColumn id="27" xr3:uid="{BFA314FC-70EC-4706-B590-9AEDFBF04F8A}" name="Applicativo" dataDxfId="140" totalsRowDxfId="32"/>
    <tableColumn id="26" xr3:uid="{D9502D9A-F892-4214-BFB5-4F585054CC20}" name="X ORDINE" dataDxfId="139" totalsRowDxfId="31">
      <calculatedColumnFormula>CONCATENATE(MEV[[#This Row],[GoTo]],"_",MEV[[#This Row],[Applicativo]])</calculatedColumnFormula>
    </tableColumn>
    <tableColumn id="2" xr3:uid="{39576314-AA1C-4FC2-A0BE-0F2911B56909}" name="Descrizione" dataDxfId="138" totalsRowDxfId="30"/>
    <tableColumn id="6" xr3:uid="{C1AC641F-7DC2-41A3-B1E6-8C4C97C613E1}" name="PM POSTE" dataDxfId="137" totalsRowDxfId="29"/>
    <tableColumn id="17" xr3:uid="{3451E57B-EE51-4CD2-A001-473A328DF73B}" name="PM CAP" dataDxfId="136" totalsRowDxfId="28"/>
    <tableColumn id="44" xr3:uid="{17D9BC21-EDF6-4B24-8CBE-2C4F351EC86F}" name="Anno Competenza" dataDxfId="135" totalsRowDxfId="27"/>
    <tableColumn id="3" xr3:uid="{47771EB1-64E3-4C4C-992B-7CEF227E5649}" name="Release" dataDxfId="134" totalsRowDxfId="26"/>
    <tableColumn id="9" xr3:uid="{67210413-1D02-40B2-90E0-8D61A6210F5C}" name="Capgemini" dataDxfId="133" totalsRowDxfId="25"/>
    <tableColumn id="5" xr3:uid="{7CB70D4B-2B59-4D2E-9670-DE85A8BBEDC4}" name="IET" dataDxfId="132" totalsRowDxfId="24"/>
    <tableColumn id="40" xr3:uid="{294245BE-5103-4BC5-9529-BF1DEA527F81}" name="Stato" dataDxfId="131" totalsRowDxfId="23"/>
    <tableColumn id="43" xr3:uid="{36FB805B-834D-4FB9-B1A2-E510B2C39846}" name="Importo Fornitura" totalsRowFunction="sum" dataDxfId="130" totalsRowDxfId="22"/>
    <tableColumn id="22" xr3:uid="{65F942A8-8495-4962-B9F8-A72674F651C7}" name="Tipo Contratto" dataDxfId="129" totalsRowDxfId="21"/>
    <tableColumn id="46" xr3:uid="{6DE1C42F-6201-459C-BB66-316494F78B1D}" name="Importo Fornitura scontato " totalsRowFunction="custom" dataDxfId="128" totalsRowDxfId="20">
      <calculatedColumnFormula>IF(MEV[[#This Row],[Importo Fornitura]]&gt;0,MEV[[#This Row],[Importo Fornitura]]-(MEV[[#This Row],[Importo Fornitura]]*VLOOKUP(MEV[[#This Row],[Tipo Contratto]],CONTRATTO!$B$4:$F$15,5,FALSE)),"")</calculatedColumnFormula>
      <totalsRowFormula>SUBTOTAL(109,MEV[Importo Fornitura])</totalsRowFormula>
    </tableColumn>
    <tableColumn id="45" xr3:uid="{A539E5CA-C248-45AD-89E6-548BB5E1B427}" name="Note" dataDxfId="127" totalsRowDxfId="19"/>
    <tableColumn id="11" xr3:uid="{4BFF3569-70D2-47C3-B31F-FC333547733F}" name="Data Check Poste" dataDxfId="126" totalsRowDxfId="18"/>
    <tableColumn id="19" xr3:uid="{D4A84314-E2FF-4EE9-9211-8928828D73C8}" name="Elapsed da approvazione" dataDxfId="125" totalsRowDxfId="17"/>
    <tableColumn id="20" xr3:uid="{880CE23C-A21E-4EA4-A978-188DCFBDF0A2}" name="Fase Lavorazione" dataDxfId="124" totalsRowDxfId="16"/>
    <tableColumn id="42" xr3:uid="{59C043D2-3B5E-4B05-BAF9-4382DD2E099B}" name="Data rilascio collaudo" dataDxfId="123" totalsRowDxfId="15"/>
    <tableColumn id="10" xr3:uid="{26832824-2EEA-452A-BCC1-E6DD5B546AD3}" name="BC" dataDxfId="122" totalsRowDxfId="14">
      <calculatedColumnFormula>VLOOKUP(MEV[[#This Row],[X ORDINE]],ORDINI!$A$2:$I$26,2,FALSE)</calculatedColumnFormula>
    </tableColumn>
    <tableColumn id="21" xr3:uid="{E482F191-035A-4ED6-89AC-6C0919045A9B}" name="Contratto" dataDxfId="121" totalsRowDxfId="13">
      <calculatedColumnFormula>VLOOKUP(MEV[[#This Row],[BC]],CONTRATTO!$B$20:$C$60,2,FALSE)</calculatedColumnFormula>
    </tableColumn>
    <tableColumn id="24" xr3:uid="{67758066-570C-4BE6-83D4-512BB392879C}" name="AT ID" dataDxfId="120" totalsRowDxfId="12">
      <calculatedColumnFormula>VLOOKUP(MEV[[#This Row],[BC]],CONTRATTO!$B$20:$E$60,4,FALSE)</calculatedColumnFormula>
    </tableColumn>
    <tableColumn id="16" xr3:uid="{33DC8D08-93FD-45FE-9246-3A979624A675}" name="TOW02.1" totalsRowFunction="custom" dataDxfId="119" totalsRowDxfId="11">
      <totalsRowFormula>SUBTOTAL(109,X3:X57)</totalsRowFormula>
    </tableColumn>
    <tableColumn id="15" xr3:uid="{135BD63C-7032-45BB-9B9D-CF219864B8EA}" name="TOW02.2" totalsRowFunction="custom" dataDxfId="118" totalsRowDxfId="10">
      <totalsRowFormula>SUBTOTAL(109,Y3:Y57)</totalsRowFormula>
    </tableColumn>
    <tableColumn id="14" xr3:uid="{76442AC1-A39C-4130-B22B-125456DCF28A}" name="TOW02.3" totalsRowFunction="custom" dataDxfId="117" totalsRowDxfId="9">
      <totalsRowFormula>SUBTOTAL(109,Z3:Z57)</totalsRowFormula>
    </tableColumn>
    <tableColumn id="13" xr3:uid="{385ADF5F-8888-4236-BF35-6C66155CE481}" name="TOW02.4" totalsRowFunction="custom" dataDxfId="116" totalsRowDxfId="8">
      <totalsRowFormula>SUBTOTAL(109,AA3:AA57)</totalsRowFormula>
    </tableColumn>
    <tableColumn id="12" xr3:uid="{54B2A005-E117-414E-B7EA-C5837970C230}" name="TOW02.5" totalsRowFunction="custom" dataDxfId="115" totalsRowDxfId="7">
      <totalsRowFormula>SUBTOTAL(109,AB3:AB57)</totalsRowFormula>
    </tableColumn>
    <tableColumn id="28" xr3:uid="{FCE41443-24B5-4B6D-AD2B-220C5710ECFB}" name="TOW02.6" totalsRowFunction="custom" dataDxfId="114" totalsRowDxfId="6">
      <totalsRowFormula>SUBTOTAL(109,AC3:AC57)</totalsRowFormula>
    </tableColumn>
    <tableColumn id="18" xr3:uid="{7F852D60-0723-4709-B790-B61F13EB8A36}" name="Totale" totalsRowFunction="custom" dataDxfId="113" totalsRowDxfId="5">
      <calculatedColumnFormula>MEV[[#This Row],[TOW02.1]]*CONTRATTO!$D$71+MEV[[#This Row],[TOW02.2]]*CONTRATTO!$D$72+MEV[[#This Row],[TOW02.3]]*CONTRATTO!$D$73+MEV[[#This Row],[TOW02.4]]*CONTRATTO!$D$74+MEV[[#This Row],[TOW02.5]]+MEV[[#This Row],[TOW02.6]]*CONTRATTO!$D$76</calculatedColumnFormula>
      <totalsRowFormula>SUBTOTAL(109,AD3:AD57)</totalsRowFormula>
    </tableColumn>
    <tableColumn id="7" xr3:uid="{6A7D1B0A-F0AD-418D-A081-3DA55B2EEFC6}" name="Ordinato (BdO)" totalsRowFunction="custom" dataDxfId="112" totalsRowDxfId="4">
      <calculatedColumnFormula>SUMIF(ORDINI[MEV],MEV[[#This Row],[X ORDINE]],ORDINI[Valore Posizione])</calculatedColumnFormula>
      <totalsRowFormula>SUBTOTAL(109,AE3:AE57)</totalsRowFormula>
    </tableColumn>
    <tableColumn id="8" xr3:uid="{10A99BE3-5078-44F0-B85C-F3EA9B220444}" name="Fatturato" totalsRowFunction="custom" dataDxfId="111" totalsRowDxfId="3">
      <calculatedColumnFormula>SUMIF(ORDINI[MEV],MEV[[#This Row],[X ORDINE]],ORDINI[Totale Fatturato])</calculatedColumnFormula>
      <totalsRowFormula>SUBTOTAL(109,AF3:AF57)</totalsRowFormula>
    </tableColumn>
    <tableColumn id="4" xr3:uid="{F4BE77BC-9D04-4DE4-9DA0-C7FA9C3FDC54}" name="Residuo fatturabile" totalsRowFunction="custom" dataDxfId="110" totalsRowDxfId="2">
      <calculatedColumnFormula>MEV[[#This Row],[Ordinato (BdO)]]-MEV[[#This Row],[Fatturato]]</calculatedColumnFormula>
      <totalsRowFormula>SUBTOTAL(109,AG3:AG57)</totalsRowFormula>
    </tableColumn>
    <tableColumn id="25" xr3:uid="{D643F3C4-A72A-1749-B4D4-04ABA41DDD42}" name="Tabella Offerta" dataDxfId="109" totalsRowDxfId="1">
      <calculatedColumnFormula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"&amp;E3&amp;".xlsx","")</calculatedColumnFormula>
    </tableColumn>
    <tableColumn id="29" xr3:uid="{D52C5519-ED72-2444-BEF7-BECBD1BFCB01}" name="Colonna1" dataDxfId="108" totalsRowDxfId="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4CE67-9877-4BC9-9704-46BADD9C80A8}" name="ORDINI" displayName="ORDINI" ref="A1:V27" totalsRowCount="1" headerRowDxfId="107" dataDxfId="105" totalsRowDxfId="103" headerRowBorderDxfId="106" tableBorderDxfId="104">
  <autoFilter ref="A1:V26" xr:uid="{F9D851BF-00F0-9C44-8AAF-E4C731DCCA4C}"/>
  <tableColumns count="22">
    <tableColumn id="1" xr3:uid="{C89F0716-180E-4DF2-82A9-2E5B5E50AA6C}" name="MEV" totalsRowLabel="Totale" dataDxfId="102" totalsRowDxfId="101" dataCellStyle="Normal 2"/>
    <tableColumn id="22" xr3:uid="{B191E7C8-4EE2-4357-9659-CAE2118CB58A}" name="BC" dataDxfId="100" totalsRowDxfId="99" dataCellStyle="Normal 2"/>
    <tableColumn id="21" xr3:uid="{C6CCE07C-610A-4C29-B483-9A1952D00FBB}" name="Anno RDA" dataDxfId="98" totalsRowDxfId="97" dataCellStyle="Normal 2"/>
    <tableColumn id="10" xr3:uid="{3775E087-D7D7-4228-9824-64F45B236B3D}" name="Listino" dataDxfId="96" totalsRowDxfId="95" dataCellStyle="Normal 2">
      <calculatedColumnFormula>IF(ORDINI[[#This Row],[BC]]&lt;&gt;0,VLOOKUP(ORDINI[[#This Row],[BC]],CONTRATTO!$B$20:$F$60,2,FALSE),"")</calculatedColumnFormula>
    </tableColumn>
    <tableColumn id="4" xr3:uid="{458B4F2E-EA1D-4D24-B973-FF46991539C7}" name="% sconto" dataDxfId="94" totalsRowDxfId="93">
      <calculatedColumnFormula>IF(ORDINI[[#This Row],[BC]]&lt;&gt;0,VLOOKUP(ORDINI[[#This Row],[Listino]],CONTRATTO!$B$4:$F$15,5),"")</calculatedColumnFormula>
    </tableColumn>
    <tableColumn id="16" xr3:uid="{6380689C-C2E0-4D55-994E-F610CCC0F381}" name="Data" dataDxfId="92" totalsRowDxfId="91">
      <calculatedColumnFormula>IF(ORDINI[[#This Row],[BC]]&lt;&gt;0,VLOOKUP(ORDINI[[#This Row],[BC]],CONTRATTO!$B$20:$F$60,3,FALSE),"")</calculatedColumnFormula>
    </tableColumn>
    <tableColumn id="23" xr3:uid="{168C9D37-AB2B-40AC-8DF5-F330EAE60921}" name="AT_ID" dataDxfId="90" totalsRowDxfId="89" dataCellStyle="Normal 2">
      <calculatedColumnFormula>IF(ORDINI[[#This Row],[BC]]&lt;&gt;0,VLOOKUP(ORDINI[[#This Row],[BC]],CONTRATTO!$B$20:$F$60,4,FALSE),"")</calculatedColumnFormula>
    </tableColumn>
    <tableColumn id="17" xr3:uid="{D8F19AE8-3209-4253-B650-72357119B14D}" name="N° RDA" dataDxfId="88" totalsRowDxfId="87">
      <calculatedColumnFormula>IF(ORDINI[[#This Row],[BC]]&lt;&gt;0,VLOOKUP(ORDINI[[#This Row],[BC]],CONTRATTO!$B$20:$F$60,5,FALSE),"")</calculatedColumnFormula>
    </tableColumn>
    <tableColumn id="19" xr3:uid="{084699ED-FF19-4C3D-BC52-3326B3B41F95}" name="Art." dataDxfId="86" totalsRowDxfId="85"/>
    <tableColumn id="18" xr3:uid="{11455C47-6E73-4A8C-8681-5914DCCD0161}" name="AP" dataDxfId="84" totalsRowDxfId="83"/>
    <tableColumn id="2" xr3:uid="{171A0450-17D8-4A4D-B675-86C4105BE742}" name="PM" dataDxfId="82" totalsRowDxfId="81"/>
    <tableColumn id="3" xr3:uid="{52892591-EF36-423C-ACCF-05753BA9F473}" name="TOW" dataDxfId="80" totalsRowDxfId="79"/>
    <tableColumn id="5" xr3:uid="{452C6B9A-8B1D-4336-B763-9A92E9BA6426}" name="Quantità" dataDxfId="78" totalsRowDxfId="77"/>
    <tableColumn id="6" xr3:uid="{63CB8FED-0A11-4AA0-B496-A9FADEBE8806}" name="Prezzo Netto" dataDxfId="76" totalsRowDxfId="75">
      <calculatedColumnFormula>IF(ORDINI[[#This Row],[TOW]]&lt;&gt;0,VLOOKUP(ORDINI[[#This Row],[TOW]],CONTRATTO!$B$71:$D$76,3)*(1-ORDINI[[#This Row],[% sconto]]),"")</calculatedColumnFormula>
    </tableColumn>
    <tableColumn id="7" xr3:uid="{20F899F2-903D-472C-8C6C-1B4F9C196D88}" name="Valore Posizione" totalsRowFunction="sum" dataDxfId="74" totalsRowDxfId="73">
      <calculatedColumnFormula>IF(ORDINI[[#This Row],[Quantità]]&gt;0,ORDINI[[#This Row],[Quantità]]*ORDINI[[#This Row],[Prezzo Netto]],"")</calculatedColumnFormula>
    </tableColumn>
    <tableColumn id="13" xr3:uid="{DA44D931-B7E8-4D9B-9BAA-C2120BBF139E}" name="Importo Fatturabile" totalsRowFunction="sum" dataDxfId="72" totalsRowDxfId="71"/>
    <tableColumn id="14" xr3:uid="{D65F2324-8368-4411-A4ED-A6EE8F2AA3DF}" name="N °Fattura" dataDxfId="70" totalsRowDxfId="69"/>
    <tableColumn id="15" xr3:uid="{A2356A51-CAAB-4F00-AD28-5389C1CD8E9B}" name="Data Fattura" dataDxfId="68" totalsRowDxfId="67"/>
    <tableColumn id="8" xr3:uid="{CC761E32-D36B-4A8C-A44B-84B426D0E448}" name="Totale Fatturato" totalsRowFunction="sum" dataDxfId="66" totalsRowDxfId="65"/>
    <tableColumn id="9" xr3:uid="{ED173514-8EC0-40FB-9B29-289AEC567415}" name="Residuo Fatturabile" totalsRowFunction="sum" dataDxfId="64" totalsRowDxfId="63">
      <calculatedColumnFormula>IF(M2&gt;0,ORDINI[[#This Row],[Valore Posizione]]-ORDINI[[#This Row],[Totale Fatturato]],"")</calculatedColumnFormula>
    </tableColumn>
    <tableColumn id="11" xr3:uid="{DA13EE70-FFBC-4EFB-96C5-2AD94C803D70}" name="Quote" dataDxfId="62" totalsRowDxfId="61"/>
    <tableColumn id="20" xr3:uid="{848B74FD-8917-4DCD-AE7F-A8C8374C9505}" name="listino2" dataDxfId="60" totalsRowDxfId="5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A9A6DB-BC8D-4351-8654-4782A5CBED60}" name="STATO4" displayName="STATO4" ref="B2:M27" totalsRowShown="0" headerRowDxfId="58" dataDxfId="56" headerRowBorderDxfId="57">
  <autoFilter ref="B2:M27" xr:uid="{56A9A6DB-BC8D-4351-8654-4782A5CBED60}"/>
  <tableColumns count="12">
    <tableColumn id="10" xr3:uid="{AE12C962-5803-4CA4-B08D-3D900F80E4BF}" name="PM Poste" dataDxfId="55"/>
    <tableColumn id="9" xr3:uid="{A66B1797-FEED-4837-98C3-CE4A5C19C5B2}" name="PM Cap" dataDxfId="54"/>
    <tableColumn id="8" xr3:uid="{0F0B0673-C5E8-404C-9DB2-B1CF69758577}" name="STATO" dataDxfId="53"/>
    <tableColumn id="2" xr3:uid="{2B1D8067-01D1-4253-9127-10ED61DA0DEC}" name="ANNO COMPETENZA" dataDxfId="52"/>
    <tableColumn id="13" xr3:uid="{CB0AAE65-24A1-4B16-8FE3-50DC399CE2C3}" name="2026" dataDxfId="51"/>
    <tableColumn id="12" xr3:uid="{14F6C039-D124-4D22-9481-09B267B816DD}" name="2027" dataDxfId="50"/>
    <tableColumn id="11" xr3:uid="{A132A071-4E80-4C70-81DA-D2E0A437780B}" name="2028" dataDxfId="49"/>
    <tableColumn id="3" xr3:uid="{981E2ABA-4715-442E-89B9-DCCE4A6FB50C}" name="2029" dataDxfId="48"/>
    <tableColumn id="5" xr3:uid="{2C03E7EE-E381-4BDB-B628-304AA8BB70D9}" name="APPLICATIVO" dataDxfId="47"/>
    <tableColumn id="4" xr3:uid="{C62116B9-83F2-4CB8-BFFE-F913DB58ED38}" name="FASE RILASCIO" dataDxfId="46"/>
    <tableColumn id="6" xr3:uid="{9E65A18A-24EF-47F5-8FC7-53064701527B}" name="SUBCO" dataDxfId="45"/>
    <tableColumn id="1" xr3:uid="{A8975F1C-9AE1-4CF1-AC2B-329BD381B765}" name="Contratto" dataDxfId="44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065AEE-C963-446A-B2CD-B8432BFE349B}" name="RELEASE" displayName="RELEASE" ref="B3:Y15" totalsRowShown="0" headerRowDxfId="198" dataDxfId="197" totalsRowDxfId="196">
  <autoFilter ref="B3:Y15" xr:uid="{AAB84286-A109-8D4D-BB2E-B728747C2B4A}"/>
  <tableColumns count="24">
    <tableColumn id="1" xr3:uid="{325F2F76-83AD-4C3C-8446-02A94193EE30}" name="release" dataDxfId="195" totalsRowDxfId="194"/>
    <tableColumn id="2" xr3:uid="{246DE08E-CA5E-4FF3-9B58-5BC6F935FDB1}" name="OTE Avvio" dataDxfId="193" totalsRowDxfId="192"/>
    <tableColumn id="3" xr3:uid="{B1F5BD9E-F85A-4693-B3EE-DBA97106CC78}" name="OTE consegna" dataDxfId="191" totalsRowDxfId="190"/>
    <tableColumn id="4" xr3:uid="{112F26EC-C03E-4259-A4BA-D5766468EB61}" name="OTE approvazione" dataDxfId="189" totalsRowDxfId="188"/>
    <tableColumn id="5" xr3:uid="{B96DBC03-81E9-43BA-A479-84B928FFF06A}" name="#wk" dataDxfId="187" totalsRowDxfId="186"/>
    <tableColumn id="6" xr3:uid="{A108F5F2-455C-475B-9A02-62CFB6CBE47A}" name="condivisione ICD/ approvazione BDG" dataDxfId="185" totalsRowDxfId="184"/>
    <tableColumn id="7" xr3:uid="{68659AC7-CB7C-45D9-BB41-62F7BDA5E060}" name="Sviluppo inizio" dataDxfId="183" totalsRowDxfId="182"/>
    <tableColumn id="8" xr3:uid="{9CF5B9E1-BEF9-4E2A-9B06-15BAE994C76A}" name="Sviluppo fine" dataDxfId="181" totalsRowDxfId="180"/>
    <tableColumn id="9" xr3:uid="{6EF55F57-969C-49BD-8697-0AED33C88D27}" name="Sviluppo #wk" dataDxfId="179" totalsRowDxfId="178"/>
    <tableColumn id="10" xr3:uid="{F2DB9EDC-8768-4746-962A-14AFD6111487}" name="Collaudo Funzionale inizio" dataDxfId="177" totalsRowDxfId="176"/>
    <tableColumn id="11" xr3:uid="{438E1C9C-3D26-43D1-8F7C-22B8C1D735A6}" name="Collaudo Funzionale fine" dataDxfId="175" totalsRowDxfId="174"/>
    <tableColumn id="12" xr3:uid="{1F344EB9-E682-4E1C-89A9-97E51E910190}" name="Collaudo Funzionale #wk" dataDxfId="173" totalsRowDxfId="172"/>
    <tableColumn id="13" xr3:uid="{77AB1CEB-779F-48CB-B68F-57DE9C7C9149}" name="Collaudo E2E Inizio" dataDxfId="171" totalsRowDxfId="170"/>
    <tableColumn id="14" xr3:uid="{51F0D708-9714-4766-91B1-1D69C6F401C7}" name="Collaudo E2E Fine" dataDxfId="169" totalsRowDxfId="168"/>
    <tableColumn id="15" xr3:uid="{0A04D206-6511-4DD9-A7D0-325B08D61B5A}" name="Collaudo E2E Inizio #wk" dataDxfId="167" totalsRowDxfId="166"/>
    <tableColumn id="16" xr3:uid="{D60264F3-081C-4685-8B2A-2779D9580F9C}" name="UAT Inizio" dataDxfId="165" totalsRowDxfId="164"/>
    <tableColumn id="17" xr3:uid="{27E3B411-53FF-406D-8EA0-51B318B9D196}" name="UAT Fine" dataDxfId="163" totalsRowDxfId="162"/>
    <tableColumn id="18" xr3:uid="{DBBB99F1-34F5-4359-87B8-D2EF787AA69F}" name="UAT #wk" dataDxfId="161" totalsRowDxfId="160"/>
    <tableColumn id="19" xr3:uid="{58F72858-FBC8-478C-95D4-34990D4A6411}" name="Certificazione Inizio" dataDxfId="159" totalsRowDxfId="158"/>
    <tableColumn id="20" xr3:uid="{26EB6DF6-D1CE-4532-A4E5-A3FCD586606E}" name="Certificazione Fine" dataDxfId="157" totalsRowDxfId="156"/>
    <tableColumn id="21" xr3:uid="{7905EDA2-A8E4-4E7C-8D76-127F31FDFC57}" name="Certificazione #wk" dataDxfId="155" totalsRowDxfId="154"/>
    <tableColumn id="22" xr3:uid="{81BCE44A-C3D8-4E0D-BB98-CE2A93AB38BC}" name="pass in prod" dataDxfId="153" totalsRowDxfId="152"/>
    <tableColumn id="23" xr3:uid="{86771702-3F51-4756-90CF-DA0B38850119}" name="disp al cliente" dataDxfId="151" totalsRowDxfId="150"/>
    <tableColumn id="24" xr3:uid="{D85B9293-F9FF-4496-B52D-A38837703FB7}" name="Totale Release" dataDxfId="149" totalsRowDxfId="1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uro.stefanelli@capgemini.com" TargetMode="External"/><Relationship Id="rId3" Type="http://schemas.openxmlformats.org/officeDocument/2006/relationships/hyperlink" Target="mailto:dario.de-santis@capgemini.com" TargetMode="External"/><Relationship Id="rId7" Type="http://schemas.openxmlformats.org/officeDocument/2006/relationships/hyperlink" Target="mailto:silvia.pallotti@capgemini.com" TargetMode="External"/><Relationship Id="rId2" Type="http://schemas.openxmlformats.org/officeDocument/2006/relationships/hyperlink" Target="mailto:alessio.grazioli@capgemini.com" TargetMode="External"/><Relationship Id="rId1" Type="http://schemas.openxmlformats.org/officeDocument/2006/relationships/hyperlink" Target="mailto:davide.tomo@capgemini.com" TargetMode="External"/><Relationship Id="rId6" Type="http://schemas.openxmlformats.org/officeDocument/2006/relationships/hyperlink" Target="mailto:annamaria.mele@capgemini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giulio.pistis@capgemini.com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stefano.falo@capgemini.com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:f:/r/sites/LOGISTICA-GOVERNANCE2/Shared%20Documents/General/GARA%202025/ECONOMICS/TabelleOfferte/R.26.10/Tabella%20Offerta%20-%20139552_BEP%20-Supplemento%20PDB%20per%20ritiro%20in%20sede%20diversa%20da%20quella%20certificata.xlsx" TargetMode="External"/><Relationship Id="rId2" Type="http://schemas.openxmlformats.org/officeDocument/2006/relationships/hyperlink" Target="../../../../../../:f:/r/sites/LOGISTICA-GOVERNANCE2/Shared%20Documents/General/GARA%202025/ECONOMICS/TabelleOfferte/R.26.05/Tabella%20Offerta%20-%20141761_IPER_IPERSUITE%20-CR%20su%20Dazi%20USA.xlsx" TargetMode="External"/><Relationship Id="rId1" Type="http://schemas.openxmlformats.org/officeDocument/2006/relationships/hyperlink" Target="../../../../../../:f:/r/sites/LOGISTICA-GOVERNANCE2/Shared%20Documents/General/GARA%202025/ECONOMICS/TabelleOfferte/R.26.05/Tabella%20Offerta%20-%20143247_SORTING%20CONTROLLER%20-Porting%20Gen%203.xlsx" TargetMode="External"/><Relationship Id="rId6" Type="http://schemas.microsoft.com/office/2019/04/relationships/namedSheetView" Target="../namedSheetViews/namedSheetView1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9548-3A25-4402-AF76-75E6A9B4269E}">
  <sheetPr codeName="Foglio1"/>
  <dimension ref="B2:U72"/>
  <sheetViews>
    <sheetView topLeftCell="C37" zoomScaleNormal="100" workbookViewId="0">
      <selection activeCell="F60" sqref="F60"/>
    </sheetView>
  </sheetViews>
  <sheetFormatPr baseColWidth="10" defaultColWidth="8.83203125" defaultRowHeight="15" x14ac:dyDescent="0.2"/>
  <cols>
    <col min="1" max="1" width="2.1640625" style="1" customWidth="1"/>
    <col min="2" max="2" width="16.33203125" style="1" customWidth="1"/>
    <col min="3" max="3" width="14.1640625" style="1" customWidth="1"/>
    <col min="4" max="4" width="21.1640625" style="1" customWidth="1"/>
    <col min="5" max="5" width="36.83203125" style="1" bestFit="1" customWidth="1"/>
    <col min="6" max="9" width="14.83203125" style="1" customWidth="1"/>
    <col min="10" max="10" width="15.5" style="1" customWidth="1"/>
    <col min="11" max="11" width="2.33203125" style="1" customWidth="1"/>
    <col min="12" max="12" width="11" style="1" bestFit="1" customWidth="1"/>
    <col min="13" max="13" width="13.5" style="1" hidden="1" customWidth="1"/>
    <col min="14" max="14" width="9.83203125" style="1" hidden="1" customWidth="1"/>
    <col min="15" max="15" width="14.83203125" style="1" hidden="1" customWidth="1"/>
    <col min="16" max="16" width="7.1640625" style="1" hidden="1" customWidth="1"/>
    <col min="17" max="21" width="14.83203125" style="1" customWidth="1"/>
    <col min="22" max="22" width="2.1640625" style="1" customWidth="1"/>
    <col min="23" max="16384" width="8.83203125" style="1"/>
  </cols>
  <sheetData>
    <row r="2" spans="2:21" x14ac:dyDescent="0.2">
      <c r="B2" s="587" t="s">
        <v>105</v>
      </c>
      <c r="C2" s="588"/>
      <c r="D2" s="588"/>
      <c r="E2" s="588"/>
      <c r="F2" s="588"/>
      <c r="G2" s="588"/>
      <c r="H2" s="588"/>
      <c r="I2" s="588"/>
      <c r="J2" s="589"/>
      <c r="L2" s="590" t="s">
        <v>106</v>
      </c>
      <c r="M2" s="590"/>
      <c r="N2" s="590"/>
      <c r="O2" s="590"/>
      <c r="P2" s="590"/>
      <c r="Q2" s="590"/>
      <c r="R2" s="590"/>
      <c r="S2" s="590"/>
      <c r="T2" s="590"/>
      <c r="U2" s="590"/>
    </row>
    <row r="3" spans="2:21" x14ac:dyDescent="0.2">
      <c r="B3" s="15" t="s">
        <v>924</v>
      </c>
      <c r="C3" s="15" t="s">
        <v>64</v>
      </c>
      <c r="D3" s="15" t="s">
        <v>98</v>
      </c>
      <c r="E3" s="15" t="s">
        <v>2</v>
      </c>
      <c r="F3" s="76" t="s">
        <v>99</v>
      </c>
      <c r="G3" s="15" t="s">
        <v>100</v>
      </c>
      <c r="H3" s="15" t="s">
        <v>101</v>
      </c>
      <c r="I3" s="82" t="s">
        <v>102</v>
      </c>
      <c r="J3" s="15" t="s">
        <v>103</v>
      </c>
      <c r="L3" s="15" t="s">
        <v>622</v>
      </c>
      <c r="M3" s="15" t="s">
        <v>701</v>
      </c>
      <c r="N3" s="15" t="s">
        <v>90</v>
      </c>
      <c r="O3" s="15" t="s">
        <v>678</v>
      </c>
      <c r="P3" s="15" t="s">
        <v>96</v>
      </c>
      <c r="Q3" s="15" t="s">
        <v>679</v>
      </c>
      <c r="R3" s="15" t="s">
        <v>86</v>
      </c>
      <c r="S3" s="15" t="s">
        <v>116</v>
      </c>
      <c r="T3" s="15" t="s">
        <v>680</v>
      </c>
      <c r="U3" s="15" t="s">
        <v>681</v>
      </c>
    </row>
    <row r="4" spans="2:21" x14ac:dyDescent="0.2">
      <c r="B4" s="16" t="s">
        <v>925</v>
      </c>
      <c r="C4" s="457">
        <v>21108</v>
      </c>
      <c r="D4" s="17" t="s">
        <v>960</v>
      </c>
      <c r="E4" s="17" t="s">
        <v>948</v>
      </c>
      <c r="F4" s="77">
        <v>3015556</v>
      </c>
      <c r="G4" s="81"/>
      <c r="H4" s="24">
        <f>F4-G4</f>
        <v>3015556</v>
      </c>
      <c r="I4" s="83"/>
      <c r="J4" s="24">
        <f>F4-I4</f>
        <v>3015556</v>
      </c>
      <c r="L4" s="229" t="s">
        <v>623</v>
      </c>
      <c r="M4" s="230">
        <f>CONTRATTO!C4</f>
        <v>4490015980</v>
      </c>
      <c r="N4" s="231">
        <f>CONTRATTO!D4</f>
        <v>46036</v>
      </c>
      <c r="O4" s="232">
        <f>CONTRATTO!E4</f>
        <v>6873048.9500000002</v>
      </c>
      <c r="P4" s="233">
        <f>CONTRATTO!F4</f>
        <v>0</v>
      </c>
      <c r="Q4" s="234">
        <f>CONTRATTO!G4</f>
        <v>6873048.9500000002</v>
      </c>
      <c r="R4" s="234">
        <f>CONTRATTO!H4</f>
        <v>38658</v>
      </c>
      <c r="S4" s="234">
        <f>CONTRATTO!I4</f>
        <v>6834390.9500000002</v>
      </c>
      <c r="T4" s="234">
        <f>CONTRATTO!J4</f>
        <v>0</v>
      </c>
      <c r="U4" s="234">
        <f>CONTRATTO!K4</f>
        <v>0</v>
      </c>
    </row>
    <row r="5" spans="2:21" x14ac:dyDescent="0.2">
      <c r="B5" s="18" t="s">
        <v>926</v>
      </c>
      <c r="C5" s="458">
        <v>21104</v>
      </c>
      <c r="D5" s="19" t="s">
        <v>959</v>
      </c>
      <c r="E5" s="19" t="s">
        <v>949</v>
      </c>
      <c r="F5" s="78">
        <v>77316</v>
      </c>
      <c r="G5" s="50"/>
      <c r="H5" s="26">
        <f t="shared" ref="H5:H15" si="0">F5-G5</f>
        <v>77316</v>
      </c>
      <c r="I5" s="84"/>
      <c r="J5" s="26">
        <f t="shared" ref="J5:J15" si="1">F5-I5</f>
        <v>77316</v>
      </c>
      <c r="L5" s="235" t="s">
        <v>202</v>
      </c>
      <c r="M5" s="236">
        <f>CONTRATTO!C5</f>
        <v>0</v>
      </c>
      <c r="N5" s="237">
        <f>CONTRATTO!D5</f>
        <v>0</v>
      </c>
      <c r="O5" s="238">
        <f>CONTRATTO!E5</f>
        <v>0</v>
      </c>
      <c r="P5" s="239">
        <f>CONTRATTO!F5</f>
        <v>0</v>
      </c>
      <c r="Q5" s="240">
        <f>CONTRATTO!G5</f>
        <v>0</v>
      </c>
      <c r="R5" s="240">
        <f>CONTRATTO!H5</f>
        <v>0</v>
      </c>
      <c r="S5" s="240">
        <f>CONTRATTO!I5</f>
        <v>0</v>
      </c>
      <c r="T5" s="240">
        <f>CONTRATTO!J5</f>
        <v>0</v>
      </c>
      <c r="U5" s="240">
        <f>CONTRATTO!K5</f>
        <v>0</v>
      </c>
    </row>
    <row r="6" spans="2:21" x14ac:dyDescent="0.2">
      <c r="B6" s="18"/>
      <c r="C6" s="458"/>
      <c r="D6" s="19"/>
      <c r="E6" s="19"/>
      <c r="F6" s="78"/>
      <c r="G6" s="50"/>
      <c r="H6" s="26">
        <f t="shared" si="0"/>
        <v>0</v>
      </c>
      <c r="I6" s="84"/>
      <c r="J6" s="26">
        <f t="shared" si="1"/>
        <v>0</v>
      </c>
      <c r="L6" s="235" t="s">
        <v>203</v>
      </c>
      <c r="M6" s="236">
        <f>CONTRATTO!C6</f>
        <v>0</v>
      </c>
      <c r="N6" s="237">
        <f>CONTRATTO!D6</f>
        <v>0</v>
      </c>
      <c r="O6" s="238">
        <f>CONTRATTO!E6</f>
        <v>0</v>
      </c>
      <c r="P6" s="239">
        <f>CONTRATTO!F6</f>
        <v>0</v>
      </c>
      <c r="Q6" s="240">
        <f>CONTRATTO!G6</f>
        <v>0</v>
      </c>
      <c r="R6" s="240">
        <f>CONTRATTO!H6</f>
        <v>0</v>
      </c>
      <c r="S6" s="240">
        <f>CONTRATTO!I6</f>
        <v>0</v>
      </c>
      <c r="T6" s="240">
        <f>CONTRATTO!J6</f>
        <v>0</v>
      </c>
      <c r="U6" s="240">
        <f>CONTRATTO!K6</f>
        <v>0</v>
      </c>
    </row>
    <row r="7" spans="2:21" x14ac:dyDescent="0.2">
      <c r="B7" s="18"/>
      <c r="C7" s="458"/>
      <c r="D7" s="19"/>
      <c r="E7" s="19"/>
      <c r="F7" s="78"/>
      <c r="G7" s="50"/>
      <c r="H7" s="26">
        <f t="shared" si="0"/>
        <v>0</v>
      </c>
      <c r="I7" s="84"/>
      <c r="J7" s="26">
        <f t="shared" si="1"/>
        <v>0</v>
      </c>
      <c r="L7" s="235" t="s">
        <v>204</v>
      </c>
      <c r="M7" s="236">
        <f>CONTRATTO!C7</f>
        <v>0</v>
      </c>
      <c r="N7" s="237">
        <f>CONTRATTO!D7</f>
        <v>0</v>
      </c>
      <c r="O7" s="238">
        <f>CONTRATTO!E7</f>
        <v>0</v>
      </c>
      <c r="P7" s="239">
        <f>CONTRATTO!F7</f>
        <v>0</v>
      </c>
      <c r="Q7" s="240">
        <f>CONTRATTO!G7</f>
        <v>0</v>
      </c>
      <c r="R7" s="240">
        <f>CONTRATTO!H7</f>
        <v>0</v>
      </c>
      <c r="S7" s="240">
        <f>CONTRATTO!I7</f>
        <v>0</v>
      </c>
      <c r="T7" s="240">
        <f>CONTRATTO!J7</f>
        <v>0</v>
      </c>
      <c r="U7" s="240">
        <f>CONTRATTO!K7</f>
        <v>0</v>
      </c>
    </row>
    <row r="8" spans="2:21" x14ac:dyDescent="0.2">
      <c r="B8" s="18"/>
      <c r="C8" s="458"/>
      <c r="D8" s="19"/>
      <c r="E8" s="19"/>
      <c r="F8" s="78"/>
      <c r="G8" s="50"/>
      <c r="H8" s="26">
        <f t="shared" si="0"/>
        <v>0</v>
      </c>
      <c r="I8" s="84"/>
      <c r="J8" s="26">
        <f t="shared" si="1"/>
        <v>0</v>
      </c>
      <c r="L8" s="235" t="s">
        <v>205</v>
      </c>
      <c r="M8" s="236">
        <f>CONTRATTO!C8</f>
        <v>0</v>
      </c>
      <c r="N8" s="237">
        <f>CONTRATTO!D8</f>
        <v>0</v>
      </c>
      <c r="O8" s="238">
        <f>CONTRATTO!E8</f>
        <v>0</v>
      </c>
      <c r="P8" s="239">
        <f>CONTRATTO!F8</f>
        <v>0</v>
      </c>
      <c r="Q8" s="240">
        <f>CONTRATTO!G8</f>
        <v>0</v>
      </c>
      <c r="R8" s="240">
        <f>CONTRATTO!H8</f>
        <v>0</v>
      </c>
      <c r="S8" s="240">
        <f>CONTRATTO!I8</f>
        <v>0</v>
      </c>
      <c r="T8" s="240">
        <f>CONTRATTO!J8</f>
        <v>0</v>
      </c>
      <c r="U8" s="240">
        <f>CONTRATTO!K8</f>
        <v>0</v>
      </c>
    </row>
    <row r="9" spans="2:21" x14ac:dyDescent="0.2">
      <c r="B9" s="18"/>
      <c r="C9" s="458"/>
      <c r="D9" s="19"/>
      <c r="E9" s="19"/>
      <c r="F9" s="78"/>
      <c r="G9" s="50"/>
      <c r="H9" s="26">
        <f t="shared" si="0"/>
        <v>0</v>
      </c>
      <c r="I9" s="84"/>
      <c r="J9" s="26">
        <f t="shared" si="1"/>
        <v>0</v>
      </c>
      <c r="L9" s="235" t="s">
        <v>206</v>
      </c>
      <c r="M9" s="236">
        <f>CONTRATTO!C9</f>
        <v>0</v>
      </c>
      <c r="N9" s="237">
        <f>CONTRATTO!D9</f>
        <v>0</v>
      </c>
      <c r="O9" s="238">
        <f>CONTRATTO!E9</f>
        <v>0</v>
      </c>
      <c r="P9" s="239">
        <f>CONTRATTO!F9</f>
        <v>0</v>
      </c>
      <c r="Q9" s="240">
        <f>CONTRATTO!G9</f>
        <v>0</v>
      </c>
      <c r="R9" s="240">
        <f>CONTRATTO!H9</f>
        <v>0</v>
      </c>
      <c r="S9" s="240">
        <f>CONTRATTO!I9</f>
        <v>0</v>
      </c>
      <c r="T9" s="240">
        <f>CONTRATTO!J9</f>
        <v>0</v>
      </c>
      <c r="U9" s="240">
        <f>CONTRATTO!K9</f>
        <v>0</v>
      </c>
    </row>
    <row r="10" spans="2:21" x14ac:dyDescent="0.2">
      <c r="B10" s="18"/>
      <c r="C10" s="458"/>
      <c r="D10" s="19"/>
      <c r="E10" s="19"/>
      <c r="F10" s="78"/>
      <c r="G10" s="50"/>
      <c r="H10" s="26">
        <f t="shared" si="0"/>
        <v>0</v>
      </c>
      <c r="I10" s="84"/>
      <c r="J10" s="26">
        <f t="shared" si="1"/>
        <v>0</v>
      </c>
      <c r="L10" s="235" t="s">
        <v>207</v>
      </c>
      <c r="M10" s="236">
        <f>CONTRATTO!C10</f>
        <v>0</v>
      </c>
      <c r="N10" s="237">
        <f>CONTRATTO!D10</f>
        <v>0</v>
      </c>
      <c r="O10" s="238">
        <f>CONTRATTO!E10</f>
        <v>0</v>
      </c>
      <c r="P10" s="239">
        <f>CONTRATTO!F10</f>
        <v>0</v>
      </c>
      <c r="Q10" s="240">
        <f>CONTRATTO!G10</f>
        <v>0</v>
      </c>
      <c r="R10" s="240">
        <f>CONTRATTO!H10</f>
        <v>0</v>
      </c>
      <c r="S10" s="240">
        <f>CONTRATTO!I10</f>
        <v>0</v>
      </c>
      <c r="T10" s="240">
        <f>CONTRATTO!J10</f>
        <v>0</v>
      </c>
      <c r="U10" s="240">
        <f>CONTRATTO!K10</f>
        <v>0</v>
      </c>
    </row>
    <row r="11" spans="2:21" x14ac:dyDescent="0.2">
      <c r="B11" s="18"/>
      <c r="C11" s="458"/>
      <c r="D11" s="19"/>
      <c r="E11" s="19"/>
      <c r="F11" s="78"/>
      <c r="G11" s="50"/>
      <c r="H11" s="26">
        <f t="shared" si="0"/>
        <v>0</v>
      </c>
      <c r="I11" s="84"/>
      <c r="J11" s="26">
        <f t="shared" si="1"/>
        <v>0</v>
      </c>
      <c r="L11" s="235" t="s">
        <v>208</v>
      </c>
      <c r="M11" s="236">
        <f>CONTRATTO!C11</f>
        <v>0</v>
      </c>
      <c r="N11" s="237">
        <f>CONTRATTO!D11</f>
        <v>0</v>
      </c>
      <c r="O11" s="238">
        <f>CONTRATTO!E11</f>
        <v>0</v>
      </c>
      <c r="P11" s="239">
        <f>CONTRATTO!F11</f>
        <v>0</v>
      </c>
      <c r="Q11" s="240">
        <f>CONTRATTO!G11</f>
        <v>0</v>
      </c>
      <c r="R11" s="240">
        <f>CONTRATTO!H11</f>
        <v>0</v>
      </c>
      <c r="S11" s="240">
        <f>CONTRATTO!I11</f>
        <v>0</v>
      </c>
      <c r="T11" s="240">
        <f>CONTRATTO!J11</f>
        <v>0</v>
      </c>
      <c r="U11" s="240">
        <f>CONTRATTO!K11</f>
        <v>0</v>
      </c>
    </row>
    <row r="12" spans="2:21" x14ac:dyDescent="0.2">
      <c r="B12" s="18"/>
      <c r="C12" s="458"/>
      <c r="D12" s="19"/>
      <c r="E12" s="19"/>
      <c r="F12" s="78"/>
      <c r="G12" s="50"/>
      <c r="H12" s="26">
        <f t="shared" si="0"/>
        <v>0</v>
      </c>
      <c r="I12" s="84"/>
      <c r="J12" s="26">
        <f t="shared" si="1"/>
        <v>0</v>
      </c>
      <c r="L12" s="235" t="s">
        <v>624</v>
      </c>
      <c r="M12" s="236">
        <f>CONTRATTO!C12</f>
        <v>0</v>
      </c>
      <c r="N12" s="237">
        <f>CONTRATTO!D12</f>
        <v>0</v>
      </c>
      <c r="O12" s="238">
        <f>CONTRATTO!E12</f>
        <v>0</v>
      </c>
      <c r="P12" s="239">
        <f>CONTRATTO!F12</f>
        <v>0</v>
      </c>
      <c r="Q12" s="240">
        <f>CONTRATTO!G12</f>
        <v>0</v>
      </c>
      <c r="R12" s="240">
        <f>CONTRATTO!H12</f>
        <v>0</v>
      </c>
      <c r="S12" s="240">
        <f>CONTRATTO!I12</f>
        <v>0</v>
      </c>
      <c r="T12" s="240">
        <f>CONTRATTO!J12</f>
        <v>0</v>
      </c>
      <c r="U12" s="240">
        <f>CONTRATTO!K12</f>
        <v>0</v>
      </c>
    </row>
    <row r="13" spans="2:21" x14ac:dyDescent="0.2">
      <c r="B13" s="18"/>
      <c r="C13" s="458"/>
      <c r="D13" s="19"/>
      <c r="E13" s="19"/>
      <c r="F13" s="78"/>
      <c r="G13" s="50"/>
      <c r="H13" s="26">
        <f t="shared" si="0"/>
        <v>0</v>
      </c>
      <c r="I13" s="84"/>
      <c r="J13" s="26">
        <f t="shared" si="1"/>
        <v>0</v>
      </c>
      <c r="L13" s="235" t="s">
        <v>625</v>
      </c>
      <c r="M13" s="236">
        <f>CONTRATTO!C13</f>
        <v>0</v>
      </c>
      <c r="N13" s="237">
        <f>CONTRATTO!D13</f>
        <v>0</v>
      </c>
      <c r="O13" s="238">
        <f>CONTRATTO!E13</f>
        <v>0</v>
      </c>
      <c r="P13" s="239">
        <f>CONTRATTO!F13</f>
        <v>0</v>
      </c>
      <c r="Q13" s="240">
        <f>CONTRATTO!G13</f>
        <v>0</v>
      </c>
      <c r="R13" s="240">
        <f>CONTRATTO!H13</f>
        <v>0</v>
      </c>
      <c r="S13" s="240">
        <f>CONTRATTO!I13</f>
        <v>0</v>
      </c>
      <c r="T13" s="240">
        <f>CONTRATTO!J13</f>
        <v>0</v>
      </c>
      <c r="U13" s="240">
        <f>CONTRATTO!K13</f>
        <v>0</v>
      </c>
    </row>
    <row r="14" spans="2:21" x14ac:dyDescent="0.2">
      <c r="B14" s="18"/>
      <c r="C14" s="458"/>
      <c r="D14" s="19"/>
      <c r="E14" s="19"/>
      <c r="F14" s="78"/>
      <c r="G14" s="50"/>
      <c r="H14" s="26">
        <f t="shared" si="0"/>
        <v>0</v>
      </c>
      <c r="I14" s="84"/>
      <c r="J14" s="26">
        <f t="shared" si="1"/>
        <v>0</v>
      </c>
      <c r="L14" s="235" t="s">
        <v>626</v>
      </c>
      <c r="M14" s="236">
        <f>CONTRATTO!C14</f>
        <v>0</v>
      </c>
      <c r="N14" s="237">
        <f>CONTRATTO!D14</f>
        <v>0</v>
      </c>
      <c r="O14" s="238">
        <f>CONTRATTO!E14</f>
        <v>0</v>
      </c>
      <c r="P14" s="239">
        <f>CONTRATTO!F14</f>
        <v>0</v>
      </c>
      <c r="Q14" s="240">
        <f>CONTRATTO!G14</f>
        <v>0</v>
      </c>
      <c r="R14" s="240">
        <f>CONTRATTO!H14</f>
        <v>0</v>
      </c>
      <c r="S14" s="240">
        <f>CONTRATTO!I14</f>
        <v>0</v>
      </c>
      <c r="T14" s="240">
        <f>CONTRATTO!J14</f>
        <v>0</v>
      </c>
      <c r="U14" s="240">
        <f>CONTRATTO!K14</f>
        <v>0</v>
      </c>
    </row>
    <row r="15" spans="2:21" ht="16" thickBot="1" x14ac:dyDescent="0.25">
      <c r="B15" s="20"/>
      <c r="C15" s="459"/>
      <c r="D15" s="21"/>
      <c r="E15" s="21"/>
      <c r="F15" s="79"/>
      <c r="G15" s="62"/>
      <c r="H15" s="28">
        <f t="shared" si="0"/>
        <v>0</v>
      </c>
      <c r="I15" s="85"/>
      <c r="J15" s="28">
        <f t="shared" si="1"/>
        <v>0</v>
      </c>
      <c r="L15" s="241" t="s">
        <v>627</v>
      </c>
      <c r="M15" s="242">
        <f>CONTRATTO!C15</f>
        <v>0</v>
      </c>
      <c r="N15" s="243">
        <f>CONTRATTO!D15</f>
        <v>0</v>
      </c>
      <c r="O15" s="244">
        <f>CONTRATTO!E15</f>
        <v>0</v>
      </c>
      <c r="P15" s="245">
        <f>CONTRATTO!F15</f>
        <v>0</v>
      </c>
      <c r="Q15" s="246">
        <f>CONTRATTO!G15</f>
        <v>0</v>
      </c>
      <c r="R15" s="246">
        <f>CONTRATTO!H15</f>
        <v>0</v>
      </c>
      <c r="S15" s="246">
        <f>CONTRATTO!I15</f>
        <v>0</v>
      </c>
      <c r="T15" s="246">
        <f>CONTRATTO!J15</f>
        <v>0</v>
      </c>
      <c r="U15" s="246">
        <f>CONTRATTO!K15</f>
        <v>0</v>
      </c>
    </row>
    <row r="16" spans="2:21" ht="17" thickTop="1" thickBot="1" x14ac:dyDescent="0.25">
      <c r="B16" s="22"/>
      <c r="C16" s="460"/>
      <c r="D16" s="23"/>
      <c r="E16" s="23"/>
      <c r="F16" s="80">
        <f>SUM(F4:F15)</f>
        <v>3092872</v>
      </c>
      <c r="G16" s="63">
        <f>SUM(G4:G15)</f>
        <v>0</v>
      </c>
      <c r="H16" s="61">
        <f>SUM(H4:H15)</f>
        <v>3092872</v>
      </c>
      <c r="I16" s="86">
        <f>SUM(I4:I15)</f>
        <v>0</v>
      </c>
      <c r="J16" s="61">
        <f>SUM(J4:J15)</f>
        <v>3092872</v>
      </c>
      <c r="L16" s="22"/>
      <c r="M16" s="23"/>
      <c r="N16" s="23"/>
      <c r="O16" s="140">
        <f>SUM(O4:O15)</f>
        <v>6873048.9500000002</v>
      </c>
      <c r="P16" s="139"/>
      <c r="Q16" s="29">
        <f t="shared" ref="Q16:R16" si="2">SUM(Q4:Q15)</f>
        <v>6873048.9500000002</v>
      </c>
      <c r="R16" s="29">
        <f t="shared" si="2"/>
        <v>38658</v>
      </c>
      <c r="S16" s="61">
        <f>SUM(S4:S15)</f>
        <v>6834390.9500000002</v>
      </c>
      <c r="T16" s="29">
        <f t="shared" ref="T16" si="3">SUM(T4:T15)</f>
        <v>0</v>
      </c>
      <c r="U16" s="61">
        <f>SUM(U4:U15)</f>
        <v>0</v>
      </c>
    </row>
    <row r="17" spans="5:21" ht="16" thickTop="1" x14ac:dyDescent="0.2"/>
    <row r="18" spans="5:21" ht="16" x14ac:dyDescent="0.2">
      <c r="E18" s="184" t="s">
        <v>694</v>
      </c>
      <c r="F18" s="252">
        <v>46387</v>
      </c>
      <c r="G18" s="252" t="s">
        <v>952</v>
      </c>
      <c r="Q18" s="254" t="s">
        <v>108</v>
      </c>
      <c r="R18" s="254"/>
      <c r="S18" s="254"/>
      <c r="T18" s="254"/>
      <c r="U18" s="254"/>
    </row>
    <row r="19" spans="5:21" ht="16" x14ac:dyDescent="0.2">
      <c r="E19" s="51" t="s">
        <v>698</v>
      </c>
      <c r="F19" s="54">
        <f>SUMIFS(MEV!O:O,MEV!L:L,"approvato")</f>
        <v>1586473.6800000002</v>
      </c>
      <c r="G19" s="54">
        <f>F19</f>
        <v>1586473.6800000002</v>
      </c>
      <c r="Q19" s="30" t="s">
        <v>702</v>
      </c>
      <c r="R19" s="45" t="s">
        <v>112</v>
      </c>
      <c r="S19" s="46" t="s">
        <v>113</v>
      </c>
      <c r="T19" s="46" t="s">
        <v>114</v>
      </c>
      <c r="U19" s="193" t="s">
        <v>115</v>
      </c>
    </row>
    <row r="20" spans="5:21" x14ac:dyDescent="0.2">
      <c r="E20" s="18" t="s">
        <v>1007</v>
      </c>
      <c r="F20" s="26">
        <f>'CHECK CON POSTE'!I11</f>
        <v>38658</v>
      </c>
      <c r="G20" s="26">
        <f>('CHECK CON POSTE'!C11*7)-'CHECK CON POSTE'!H11</f>
        <v>6443</v>
      </c>
      <c r="H20" s="13"/>
      <c r="Q20" s="31" t="s">
        <v>74</v>
      </c>
      <c r="R20" s="32">
        <v>481265</v>
      </c>
      <c r="S20" s="32"/>
      <c r="T20" s="33"/>
      <c r="U20" s="34"/>
    </row>
    <row r="21" spans="5:21" x14ac:dyDescent="0.2">
      <c r="E21" s="18" t="s">
        <v>692</v>
      </c>
      <c r="F21" s="531">
        <f>'CHECK CON POSTE'!I10-'CHECK CON POSTE'!F10</f>
        <v>342342</v>
      </c>
      <c r="G21" s="26">
        <f>'CHECK CON POSTE'!C10*7</f>
        <v>217854</v>
      </c>
      <c r="Q21" s="35" t="s">
        <v>75</v>
      </c>
      <c r="R21" s="36">
        <v>51519</v>
      </c>
      <c r="S21" s="36"/>
      <c r="T21" s="37"/>
      <c r="U21" s="38"/>
    </row>
    <row r="22" spans="5:21" x14ac:dyDescent="0.2">
      <c r="E22" s="18" t="s">
        <v>58</v>
      </c>
      <c r="F22" s="531">
        <f>'CHECK CON POSTE'!I12</f>
        <v>120000</v>
      </c>
      <c r="G22" s="26">
        <f>F22</f>
        <v>120000</v>
      </c>
      <c r="Q22" s="31" t="s">
        <v>76</v>
      </c>
      <c r="R22" s="32">
        <v>252000</v>
      </c>
      <c r="S22" s="32"/>
      <c r="T22" s="33"/>
      <c r="U22" s="34"/>
    </row>
    <row r="23" spans="5:21" x14ac:dyDescent="0.2">
      <c r="E23" s="18"/>
      <c r="F23" s="26"/>
      <c r="G23" s="26"/>
      <c r="Q23" s="35" t="s">
        <v>77</v>
      </c>
      <c r="R23" s="36">
        <v>203481.201401673</v>
      </c>
      <c r="S23" s="36"/>
      <c r="T23" s="37"/>
      <c r="U23" s="38"/>
    </row>
    <row r="24" spans="5:21" x14ac:dyDescent="0.2">
      <c r="E24" s="18" t="s">
        <v>691</v>
      </c>
      <c r="F24" s="249">
        <f>-I16</f>
        <v>0</v>
      </c>
      <c r="G24" s="249"/>
      <c r="Q24" s="31" t="s">
        <v>78</v>
      </c>
      <c r="R24" s="32">
        <v>197927.73292731901</v>
      </c>
      <c r="S24" s="32"/>
      <c r="T24" s="33"/>
      <c r="U24" s="34"/>
    </row>
    <row r="25" spans="5:21" x14ac:dyDescent="0.2">
      <c r="E25" s="247" t="s">
        <v>699</v>
      </c>
      <c r="F25" s="249">
        <f>-R32</f>
        <v>-2477766.9581652288</v>
      </c>
      <c r="G25" s="249">
        <f>-SUM(R20:R26)</f>
        <v>-1577766.9581652288</v>
      </c>
      <c r="Q25" s="35" t="s">
        <v>79</v>
      </c>
      <c r="R25" s="36">
        <v>204949.02333734799</v>
      </c>
      <c r="S25" s="36"/>
      <c r="T25" s="37"/>
      <c r="U25" s="38"/>
    </row>
    <row r="26" spans="5:21" x14ac:dyDescent="0.2">
      <c r="E26" s="247" t="s">
        <v>700</v>
      </c>
      <c r="F26" s="249">
        <f>0</f>
        <v>0</v>
      </c>
      <c r="G26" s="249"/>
      <c r="Q26" s="31" t="s">
        <v>80</v>
      </c>
      <c r="R26" s="32">
        <v>186625.00049888901</v>
      </c>
      <c r="S26" s="32"/>
      <c r="T26" s="33"/>
      <c r="U26" s="34"/>
    </row>
    <row r="27" spans="5:21" x14ac:dyDescent="0.2">
      <c r="E27" s="18" t="s">
        <v>951</v>
      </c>
      <c r="F27" s="249">
        <v>0</v>
      </c>
      <c r="G27" s="249">
        <f>F27</f>
        <v>0</v>
      </c>
      <c r="Q27" s="35" t="s">
        <v>81</v>
      </c>
      <c r="R27" s="36">
        <v>150000</v>
      </c>
      <c r="S27" s="36"/>
      <c r="T27" s="37"/>
      <c r="U27" s="38"/>
    </row>
    <row r="28" spans="5:21" ht="16" thickBot="1" x14ac:dyDescent="0.25">
      <c r="E28" s="255"/>
      <c r="F28" s="256"/>
      <c r="G28" s="256"/>
      <c r="Q28" s="31" t="s">
        <v>82</v>
      </c>
      <c r="R28" s="32">
        <v>200000</v>
      </c>
      <c r="S28" s="32"/>
      <c r="T28" s="33"/>
      <c r="U28" s="34"/>
    </row>
    <row r="29" spans="5:21" ht="17" thickTop="1" thickBot="1" x14ac:dyDescent="0.25">
      <c r="E29" s="22" t="s">
        <v>695</v>
      </c>
      <c r="F29" s="49">
        <f>SUM(F19:F28)</f>
        <v>-390293.27816522866</v>
      </c>
      <c r="G29" s="49">
        <f>SUM(G19:G28)</f>
        <v>353003.72183477134</v>
      </c>
      <c r="Q29" s="35" t="s">
        <v>83</v>
      </c>
      <c r="R29" s="36">
        <v>200000</v>
      </c>
      <c r="S29" s="36"/>
      <c r="T29" s="37"/>
      <c r="U29" s="38"/>
    </row>
    <row r="30" spans="5:21" ht="16" thickTop="1" x14ac:dyDescent="0.2">
      <c r="E30" s="18" t="s">
        <v>37</v>
      </c>
      <c r="F30" s="514">
        <f>SUMIFS(MEV!AD:AD,MEV!L:L,"in approvazione")</f>
        <v>596992.85720000009</v>
      </c>
      <c r="G30" s="26">
        <f>F30</f>
        <v>596992.85720000009</v>
      </c>
      <c r="Q30" s="31" t="s">
        <v>84</v>
      </c>
      <c r="R30" s="32">
        <v>200000</v>
      </c>
      <c r="S30" s="32"/>
      <c r="T30" s="33"/>
      <c r="U30" s="34"/>
    </row>
    <row r="31" spans="5:21" ht="16" thickBot="1" x14ac:dyDescent="0.25">
      <c r="E31" s="20"/>
      <c r="F31" s="250"/>
      <c r="G31" s="250"/>
      <c r="Q31" s="39" t="s">
        <v>85</v>
      </c>
      <c r="R31" s="40">
        <v>150000</v>
      </c>
      <c r="S31" s="40"/>
      <c r="T31" s="41"/>
      <c r="U31" s="42"/>
    </row>
    <row r="32" spans="5:21" ht="18" thickTop="1" thickBot="1" x14ac:dyDescent="0.25">
      <c r="E32" s="22" t="s">
        <v>73</v>
      </c>
      <c r="F32" s="61">
        <f>F29+F30</f>
        <v>206699.57903477142</v>
      </c>
      <c r="G32" s="61">
        <f>G29+G30</f>
        <v>949996.57903477142</v>
      </c>
      <c r="Q32" s="43" t="s">
        <v>73</v>
      </c>
      <c r="R32" s="44">
        <f>SUM(R20:R31)</f>
        <v>2477766.9581652288</v>
      </c>
      <c r="S32" s="44">
        <f t="shared" ref="S32:U32" si="4">SUM(S20:S31)</f>
        <v>0</v>
      </c>
      <c r="T32" s="44">
        <f t="shared" si="4"/>
        <v>0</v>
      </c>
      <c r="U32" s="253">
        <f t="shared" si="4"/>
        <v>0</v>
      </c>
    </row>
    <row r="33" spans="2:9" ht="16" thickTop="1" x14ac:dyDescent="0.2"/>
    <row r="35" spans="2:9" x14ac:dyDescent="0.2">
      <c r="D35" s="1" t="s">
        <v>1021</v>
      </c>
      <c r="E35" s="1" t="s">
        <v>1022</v>
      </c>
      <c r="F35" s="466">
        <v>10230348.25</v>
      </c>
    </row>
    <row r="36" spans="2:9" x14ac:dyDescent="0.2">
      <c r="E36" s="1" t="s">
        <v>1023</v>
      </c>
      <c r="F36" s="466">
        <v>579725.29</v>
      </c>
    </row>
    <row r="37" spans="2:9" x14ac:dyDescent="0.2">
      <c r="B37" s="467"/>
      <c r="C37" s="508"/>
      <c r="E37" s="512" t="s">
        <v>1028</v>
      </c>
      <c r="F37" s="557">
        <f>SUM(F35:F36)</f>
        <v>10810073.539999999</v>
      </c>
    </row>
    <row r="38" spans="2:9" x14ac:dyDescent="0.2">
      <c r="B38" s="467"/>
      <c r="C38" s="508"/>
      <c r="F38" s="466"/>
    </row>
    <row r="39" spans="2:9" x14ac:dyDescent="0.2">
      <c r="B39" s="467"/>
      <c r="C39" s="508"/>
      <c r="D39" s="1" t="s">
        <v>1024</v>
      </c>
      <c r="E39" s="1" t="s">
        <v>1022</v>
      </c>
      <c r="F39" s="509">
        <v>9847797.0100000016</v>
      </c>
    </row>
    <row r="40" spans="2:9" x14ac:dyDescent="0.2">
      <c r="B40" s="467"/>
      <c r="C40" s="508"/>
      <c r="E40" s="1" t="s">
        <v>1039</v>
      </c>
      <c r="F40" s="509">
        <f>CONTRATTO!I61</f>
        <v>38658</v>
      </c>
    </row>
    <row r="41" spans="2:9" x14ac:dyDescent="0.2">
      <c r="B41" s="467"/>
      <c r="C41" s="508"/>
      <c r="E41" s="512" t="s">
        <v>1029</v>
      </c>
      <c r="F41" s="557">
        <f>SUM(F39:F40)</f>
        <v>9886455.0100000016</v>
      </c>
      <c r="G41" s="466"/>
    </row>
    <row r="42" spans="2:9" x14ac:dyDescent="0.2">
      <c r="B42" s="467"/>
      <c r="C42" s="508"/>
      <c r="E42" s="512"/>
      <c r="F42" s="557"/>
      <c r="G42" s="466"/>
    </row>
    <row r="43" spans="2:9" x14ac:dyDescent="0.2">
      <c r="B43" s="467"/>
      <c r="C43" s="508"/>
      <c r="E43" s="512" t="s">
        <v>1030</v>
      </c>
      <c r="F43" s="557">
        <f>F41-F37</f>
        <v>-923618.52999999747</v>
      </c>
      <c r="G43" s="466"/>
    </row>
    <row r="44" spans="2:9" x14ac:dyDescent="0.2">
      <c r="B44" s="467"/>
      <c r="C44" s="508"/>
      <c r="F44" s="466"/>
    </row>
    <row r="45" spans="2:9" x14ac:dyDescent="0.2">
      <c r="B45" s="467"/>
      <c r="C45" s="508"/>
      <c r="D45" s="1" t="s">
        <v>1031</v>
      </c>
      <c r="E45" s="1" t="s">
        <v>1027</v>
      </c>
      <c r="F45" s="466">
        <f>F21</f>
        <v>342342</v>
      </c>
      <c r="I45" s="450"/>
    </row>
    <row r="46" spans="2:9" x14ac:dyDescent="0.2">
      <c r="B46" s="467"/>
      <c r="C46" s="508"/>
      <c r="E46" s="1" t="s">
        <v>1049</v>
      </c>
      <c r="F46" s="466">
        <v>0</v>
      </c>
      <c r="G46" s="1" t="s">
        <v>1073</v>
      </c>
    </row>
    <row r="47" spans="2:9" x14ac:dyDescent="0.2">
      <c r="B47" s="467"/>
      <c r="C47" s="508"/>
      <c r="E47" s="1" t="s">
        <v>1050</v>
      </c>
      <c r="F47" s="466">
        <v>0</v>
      </c>
      <c r="G47" s="1" t="s">
        <v>1073</v>
      </c>
    </row>
    <row r="48" spans="2:9" x14ac:dyDescent="0.2">
      <c r="B48" s="467"/>
      <c r="C48" s="508"/>
      <c r="E48" s="1" t="s">
        <v>1051</v>
      </c>
      <c r="F48" s="466">
        <v>0</v>
      </c>
      <c r="G48" s="1" t="s">
        <v>1073</v>
      </c>
    </row>
    <row r="49" spans="2:8" x14ac:dyDescent="0.2">
      <c r="B49" s="467"/>
      <c r="C49" s="508"/>
      <c r="E49" s="1" t="s">
        <v>1040</v>
      </c>
      <c r="F49" s="466">
        <f>F20</f>
        <v>38658</v>
      </c>
    </row>
    <row r="50" spans="2:8" x14ac:dyDescent="0.2">
      <c r="B50" s="467"/>
      <c r="C50" s="508"/>
      <c r="E50" s="1" t="s">
        <v>1026</v>
      </c>
      <c r="F50" s="466">
        <f>F19</f>
        <v>1586473.6800000002</v>
      </c>
    </row>
    <row r="51" spans="2:8" x14ac:dyDescent="0.2">
      <c r="B51" s="467"/>
      <c r="C51" s="508"/>
      <c r="E51" s="1" t="s">
        <v>1071</v>
      </c>
      <c r="F51" s="466">
        <v>-60000</v>
      </c>
    </row>
    <row r="52" spans="2:8" x14ac:dyDescent="0.2">
      <c r="B52" s="467"/>
      <c r="C52" s="508"/>
      <c r="E52" s="512" t="s">
        <v>1032</v>
      </c>
      <c r="F52" s="557">
        <f>SUM(F45:F51)</f>
        <v>1907473.6800000002</v>
      </c>
    </row>
    <row r="53" spans="2:8" x14ac:dyDescent="0.2">
      <c r="B53" s="467"/>
      <c r="C53" s="508"/>
      <c r="D53" s="1" t="s">
        <v>1034</v>
      </c>
      <c r="E53" s="512" t="s">
        <v>1033</v>
      </c>
      <c r="F53" s="557">
        <f>-SUM(R24:R31)</f>
        <v>-1489501.756763556</v>
      </c>
      <c r="G53" s="466"/>
      <c r="H53" s="466"/>
    </row>
    <row r="54" spans="2:8" x14ac:dyDescent="0.2">
      <c r="B54" s="467"/>
      <c r="C54" s="508"/>
      <c r="E54" s="512" t="s">
        <v>1035</v>
      </c>
      <c r="F54" s="557">
        <f>F52+F53</f>
        <v>417971.92323644413</v>
      </c>
      <c r="G54" s="466"/>
      <c r="H54" s="466"/>
    </row>
    <row r="55" spans="2:8" x14ac:dyDescent="0.2">
      <c r="B55" s="467"/>
      <c r="C55" s="508"/>
      <c r="E55" s="512"/>
      <c r="F55" s="557"/>
      <c r="G55" s="466"/>
      <c r="H55" s="466"/>
    </row>
    <row r="56" spans="2:8" x14ac:dyDescent="0.2">
      <c r="B56" s="467"/>
      <c r="C56" s="508"/>
      <c r="E56" s="512" t="s">
        <v>1036</v>
      </c>
      <c r="F56" s="557">
        <f>F54+F43</f>
        <v>-505646.60676355334</v>
      </c>
      <c r="G56" s="466"/>
      <c r="H56" s="466"/>
    </row>
    <row r="57" spans="2:8" x14ac:dyDescent="0.2">
      <c r="B57" s="467"/>
      <c r="C57" s="508"/>
      <c r="F57" s="466"/>
    </row>
    <row r="58" spans="2:8" x14ac:dyDescent="0.2">
      <c r="B58" s="467"/>
      <c r="C58" s="508"/>
      <c r="D58" s="1" t="s">
        <v>1025</v>
      </c>
      <c r="E58" s="512" t="s">
        <v>1037</v>
      </c>
      <c r="F58" s="557">
        <f>F30</f>
        <v>596992.85720000009</v>
      </c>
      <c r="G58" s="466"/>
    </row>
    <row r="59" spans="2:8" x14ac:dyDescent="0.2">
      <c r="B59" s="467"/>
      <c r="C59" s="508"/>
      <c r="F59" s="466"/>
    </row>
    <row r="60" spans="2:8" x14ac:dyDescent="0.2">
      <c r="D60" s="1" t="s">
        <v>73</v>
      </c>
      <c r="E60" s="512" t="s">
        <v>1038</v>
      </c>
      <c r="F60" s="466">
        <f>F56+F58</f>
        <v>91346.250436446746</v>
      </c>
      <c r="G60" s="466"/>
    </row>
    <row r="66" spans="5:6" x14ac:dyDescent="0.2">
      <c r="E66" s="467" t="s">
        <v>1003</v>
      </c>
      <c r="F66" s="508">
        <v>10658622</v>
      </c>
    </row>
    <row r="67" spans="5:6" x14ac:dyDescent="0.2">
      <c r="E67" s="467" t="s">
        <v>1008</v>
      </c>
      <c r="F67" s="509">
        <v>9847797.0100000016</v>
      </c>
    </row>
    <row r="68" spans="5:6" x14ac:dyDescent="0.2">
      <c r="F68" s="510"/>
    </row>
    <row r="69" spans="5:6" x14ac:dyDescent="0.2">
      <c r="E69" s="468" t="s">
        <v>111</v>
      </c>
      <c r="F69" s="511">
        <f>F66-F67</f>
        <v>810824.98999999836</v>
      </c>
    </row>
    <row r="70" spans="5:6" x14ac:dyDescent="0.2">
      <c r="E70" s="1" t="s">
        <v>1004</v>
      </c>
      <c r="F70" s="511">
        <f>-F69</f>
        <v>-810824.98999999836</v>
      </c>
    </row>
    <row r="71" spans="5:6" x14ac:dyDescent="0.2">
      <c r="E71" s="1" t="s">
        <v>1005</v>
      </c>
      <c r="F71" s="509">
        <v>616000</v>
      </c>
    </row>
    <row r="72" spans="5:6" x14ac:dyDescent="0.2">
      <c r="E72" s="512" t="s">
        <v>1006</v>
      </c>
      <c r="F72" s="513">
        <f>F70+F71</f>
        <v>-194824.98999999836</v>
      </c>
    </row>
  </sheetData>
  <mergeCells count="2">
    <mergeCell ref="B2:J2"/>
    <mergeCell ref="L2:U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2D601CD-8C03-4270-B308-6ECC4E486B93}">
          <x14:formula1>
            <xm:f>TABELLE!$M$3:$M$14</xm:f>
          </x14:formula1>
          <xm:sqref>L4:L15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EB68-E94C-4AD2-8871-7448E2750D02}">
  <sheetPr codeName="Foglio2" filterMode="1"/>
  <dimension ref="A1:BW52"/>
  <sheetViews>
    <sheetView zoomScale="80" zoomScaleNormal="80" workbookViewId="0">
      <pane xSplit="3" ySplit="2" topLeftCell="BG3" activePane="bottomRight" state="frozen"/>
      <selection activeCell="D25" sqref="D25"/>
      <selection pane="topRight" activeCell="D25" sqref="D25"/>
      <selection pane="bottomLeft" activeCell="D25" sqref="D25"/>
      <selection pane="bottomRight" activeCell="A21" activeCellId="1" sqref="A19:XFD19 A21:XFD21"/>
    </sheetView>
  </sheetViews>
  <sheetFormatPr baseColWidth="10" defaultColWidth="9.6640625" defaultRowHeight="15" outlineLevelCol="1" x14ac:dyDescent="0.2"/>
  <cols>
    <col min="1" max="1" width="3" style="143" customWidth="1"/>
    <col min="2" max="2" width="6.33203125" style="143" customWidth="1"/>
    <col min="3" max="3" width="24.1640625" style="143" bestFit="1" customWidth="1"/>
    <col min="4" max="4" width="29.83203125" style="143" bestFit="1" customWidth="1"/>
    <col min="5" max="5" width="15.33203125" style="143" customWidth="1"/>
    <col min="6" max="6" width="25.83203125" style="143" customWidth="1"/>
    <col min="7" max="7" width="11.5" style="143" customWidth="1"/>
    <col min="8" max="8" width="25" style="143" bestFit="1" customWidth="1"/>
    <col min="9" max="9" width="12.1640625" style="143" bestFit="1" customWidth="1"/>
    <col min="10" max="10" width="10.1640625" style="143" bestFit="1" customWidth="1"/>
    <col min="11" max="11" width="29.33203125" style="143" bestFit="1" customWidth="1"/>
    <col min="12" max="12" width="11.1640625" style="143" bestFit="1" customWidth="1"/>
    <col min="13" max="13" width="12.6640625" style="143" bestFit="1" customWidth="1"/>
    <col min="14" max="14" width="14.5" style="143" customWidth="1"/>
    <col min="15" max="15" width="34.5" style="143" bestFit="1" customWidth="1"/>
    <col min="16" max="16" width="30.1640625" style="143" customWidth="1"/>
    <col min="17" max="17" width="24.5" style="143" customWidth="1"/>
    <col min="18" max="18" width="19.6640625" style="143" customWidth="1"/>
    <col min="19" max="19" width="19.1640625" style="143" bestFit="1" customWidth="1"/>
    <col min="20" max="20" width="17.83203125" style="143" bestFit="1" customWidth="1"/>
    <col min="21" max="31" width="19.6640625" style="143" customWidth="1"/>
    <col min="32" max="33" width="21.83203125" style="143" customWidth="1"/>
    <col min="34" max="34" width="15.83203125" style="143" customWidth="1"/>
    <col min="35" max="35" width="15.83203125" style="143" hidden="1" customWidth="1"/>
    <col min="36" max="36" width="17.5" style="143" hidden="1" customWidth="1"/>
    <col min="37" max="38" width="19.1640625" style="143" hidden="1" customWidth="1"/>
    <col min="39" max="39" width="14.1640625" style="143" hidden="1" customWidth="1"/>
    <col min="40" max="40" width="19.1640625" style="147" hidden="1" customWidth="1"/>
    <col min="41" max="44" width="19.1640625" style="147" customWidth="1"/>
    <col min="45" max="45" width="28.33203125" style="147" bestFit="1" customWidth="1"/>
    <col min="46" max="49" width="28.33203125" style="147" customWidth="1"/>
    <col min="50" max="50" width="30.83203125" style="147" customWidth="1"/>
    <col min="51" max="51" width="11.33203125" style="147" customWidth="1"/>
    <col min="52" max="52" width="9.6640625" style="143" customWidth="1"/>
    <col min="53" max="57" width="9.6640625" style="143" customWidth="1" outlineLevel="1"/>
    <col min="58" max="58" width="9.6640625" style="143"/>
    <col min="59" max="59" width="18.5" style="143" bestFit="1" customWidth="1"/>
    <col min="60" max="60" width="12.5" style="143" bestFit="1" customWidth="1"/>
    <col min="61" max="61" width="10.83203125" style="143" bestFit="1" customWidth="1"/>
    <col min="62" max="62" width="6.83203125" style="143" bestFit="1" customWidth="1"/>
    <col min="63" max="63" width="13.83203125" style="143" bestFit="1" customWidth="1"/>
    <col min="64" max="64" width="13" style="143" bestFit="1" customWidth="1"/>
    <col min="65" max="65" width="10.5" style="143" bestFit="1" customWidth="1"/>
    <col min="66" max="66" width="9.83203125" style="143" bestFit="1" customWidth="1"/>
    <col min="67" max="67" width="10.83203125" style="143" customWidth="1"/>
    <col min="68" max="68" width="12" style="143" bestFit="1" customWidth="1"/>
    <col min="69" max="69" width="17.1640625" style="143" bestFit="1" customWidth="1"/>
    <col min="70" max="70" width="15.1640625" style="143" bestFit="1" customWidth="1"/>
    <col min="71" max="72" width="13.1640625" style="143" customWidth="1"/>
    <col min="73" max="73" width="16.5" style="143" bestFit="1" customWidth="1"/>
    <col min="74" max="74" width="19.1640625" style="143" customWidth="1"/>
    <col min="75" max="16384" width="9.6640625" style="143"/>
  </cols>
  <sheetData>
    <row r="1" spans="1:74" x14ac:dyDescent="0.2">
      <c r="BB1" s="591" t="s">
        <v>209</v>
      </c>
      <c r="BC1" s="592"/>
      <c r="BD1" s="592"/>
      <c r="BE1" s="592"/>
      <c r="BP1" s="143">
        <v>21</v>
      </c>
      <c r="BQ1" s="143">
        <v>4</v>
      </c>
      <c r="BT1" s="143">
        <v>12</v>
      </c>
    </row>
    <row r="2" spans="1:74" x14ac:dyDescent="0.2">
      <c r="B2" s="275" t="s">
        <v>210</v>
      </c>
      <c r="C2" s="276" t="s">
        <v>211</v>
      </c>
      <c r="D2" s="276" t="s">
        <v>212</v>
      </c>
      <c r="E2" s="276" t="s">
        <v>213</v>
      </c>
      <c r="F2" s="276" t="s">
        <v>214</v>
      </c>
      <c r="G2" s="276" t="s">
        <v>18</v>
      </c>
      <c r="H2" s="276"/>
      <c r="I2" s="276" t="s">
        <v>215</v>
      </c>
      <c r="J2" s="276" t="s">
        <v>216</v>
      </c>
      <c r="K2" s="276" t="s">
        <v>217</v>
      </c>
      <c r="L2" s="276" t="s">
        <v>218</v>
      </c>
      <c r="M2" s="276" t="s">
        <v>219</v>
      </c>
      <c r="N2" s="276" t="s">
        <v>220</v>
      </c>
      <c r="O2" s="276" t="s">
        <v>221</v>
      </c>
      <c r="P2" s="276" t="s">
        <v>222</v>
      </c>
      <c r="Q2" s="276" t="s">
        <v>223</v>
      </c>
      <c r="R2" s="276" t="s">
        <v>224</v>
      </c>
      <c r="S2" s="276" t="s">
        <v>225</v>
      </c>
      <c r="T2" s="276" t="s">
        <v>226</v>
      </c>
      <c r="U2" s="276" t="s">
        <v>227</v>
      </c>
      <c r="V2" s="276" t="s">
        <v>228</v>
      </c>
      <c r="W2" s="276" t="s">
        <v>229</v>
      </c>
      <c r="X2" s="276" t="s">
        <v>230</v>
      </c>
      <c r="Y2" s="276" t="s">
        <v>231</v>
      </c>
      <c r="Z2" s="276" t="s">
        <v>232</v>
      </c>
      <c r="AA2" s="276" t="s">
        <v>233</v>
      </c>
      <c r="AB2" s="276" t="s">
        <v>234</v>
      </c>
      <c r="AC2" s="276" t="s">
        <v>235</v>
      </c>
      <c r="AD2" s="276" t="s">
        <v>236</v>
      </c>
      <c r="AE2" s="276" t="s">
        <v>237</v>
      </c>
      <c r="AF2" s="276" t="s">
        <v>238</v>
      </c>
      <c r="AG2" s="276" t="s">
        <v>950</v>
      </c>
      <c r="AH2" s="276" t="s">
        <v>239</v>
      </c>
      <c r="AI2" s="276" t="s">
        <v>240</v>
      </c>
      <c r="AJ2" s="276" t="s">
        <v>241</v>
      </c>
      <c r="AK2" s="276" t="s">
        <v>242</v>
      </c>
      <c r="AL2" s="276" t="s">
        <v>243</v>
      </c>
      <c r="AM2" s="276" t="s">
        <v>244</v>
      </c>
      <c r="AN2" s="276" t="s">
        <v>245</v>
      </c>
      <c r="AO2" s="277" t="s">
        <v>246</v>
      </c>
      <c r="AP2" s="277" t="s">
        <v>247</v>
      </c>
      <c r="AQ2" s="277" t="s">
        <v>916</v>
      </c>
      <c r="AR2" s="277" t="s">
        <v>248</v>
      </c>
      <c r="AS2" s="277" t="s">
        <v>249</v>
      </c>
      <c r="AT2" s="277" t="s">
        <v>250</v>
      </c>
      <c r="AU2" s="277" t="s">
        <v>251</v>
      </c>
      <c r="AV2" s="277" t="s">
        <v>252</v>
      </c>
      <c r="AW2" s="277" t="s">
        <v>253</v>
      </c>
      <c r="AX2" s="277" t="s">
        <v>254</v>
      </c>
      <c r="AY2" s="277" t="s">
        <v>255</v>
      </c>
      <c r="BB2" s="278" t="s">
        <v>256</v>
      </c>
      <c r="BC2" s="279" t="s">
        <v>257</v>
      </c>
      <c r="BD2" s="280" t="s">
        <v>258</v>
      </c>
      <c r="BE2" s="281" t="s">
        <v>259</v>
      </c>
      <c r="BH2" s="178" t="s">
        <v>260</v>
      </c>
      <c r="BI2" s="178" t="s">
        <v>261</v>
      </c>
      <c r="BJ2" s="178" t="s">
        <v>262</v>
      </c>
      <c r="BK2" s="178" t="s">
        <v>263</v>
      </c>
      <c r="BL2" s="178" t="s">
        <v>264</v>
      </c>
      <c r="BM2" s="178" t="s">
        <v>265</v>
      </c>
      <c r="BN2" s="177"/>
      <c r="BO2" s="143" t="s">
        <v>266</v>
      </c>
      <c r="BP2" s="143" t="s">
        <v>267</v>
      </c>
      <c r="BQ2" s="143" t="s">
        <v>1013</v>
      </c>
      <c r="BR2" s="143" t="s">
        <v>1009</v>
      </c>
      <c r="BS2" s="143" t="s">
        <v>1010</v>
      </c>
      <c r="BT2" s="143" t="s">
        <v>1014</v>
      </c>
      <c r="BU2" s="143" t="s">
        <v>1011</v>
      </c>
      <c r="BV2" s="143" t="s">
        <v>1012</v>
      </c>
    </row>
    <row r="3" spans="1:74" ht="14.75" hidden="1" customHeight="1" x14ac:dyDescent="0.2">
      <c r="A3" s="143" t="s">
        <v>288</v>
      </c>
      <c r="B3" s="185">
        <v>1</v>
      </c>
      <c r="C3" s="282" t="s">
        <v>268</v>
      </c>
      <c r="D3" s="218" t="s">
        <v>269</v>
      </c>
      <c r="E3" s="218"/>
      <c r="F3" s="218"/>
      <c r="G3" s="218"/>
      <c r="H3" s="218" t="s">
        <v>882</v>
      </c>
      <c r="I3" s="218" t="s">
        <v>760</v>
      </c>
      <c r="J3" s="218" t="s">
        <v>761</v>
      </c>
      <c r="K3" s="218" t="s">
        <v>759</v>
      </c>
      <c r="L3" s="283">
        <v>418.09</v>
      </c>
      <c r="M3" s="283">
        <v>653.26</v>
      </c>
      <c r="N3" s="284" t="s">
        <v>271</v>
      </c>
      <c r="O3" s="453" t="s">
        <v>272</v>
      </c>
      <c r="P3" s="285"/>
      <c r="Q3" s="284"/>
      <c r="R3" s="284" t="s">
        <v>273</v>
      </c>
      <c r="S3" s="284" t="s">
        <v>274</v>
      </c>
      <c r="T3" s="284" t="s">
        <v>273</v>
      </c>
      <c r="U3" s="284" t="s">
        <v>275</v>
      </c>
      <c r="V3" s="284" t="s">
        <v>276</v>
      </c>
      <c r="W3" s="284" t="s">
        <v>277</v>
      </c>
      <c r="X3" s="284" t="s">
        <v>278</v>
      </c>
      <c r="Y3" s="284" t="s">
        <v>279</v>
      </c>
      <c r="Z3" s="284" t="s">
        <v>280</v>
      </c>
      <c r="AA3" s="284" t="s">
        <v>279</v>
      </c>
      <c r="AB3" s="284" t="s">
        <v>281</v>
      </c>
      <c r="AC3" s="286"/>
      <c r="AD3" s="284"/>
      <c r="AE3" s="284" t="s">
        <v>282</v>
      </c>
      <c r="AF3" s="284" t="s">
        <v>283</v>
      </c>
      <c r="AG3" s="219"/>
      <c r="AH3" s="219">
        <v>44946</v>
      </c>
      <c r="AI3" s="219"/>
      <c r="AJ3" s="219"/>
      <c r="AK3" s="287" t="s">
        <v>284</v>
      </c>
      <c r="AL3" s="219" t="s">
        <v>285</v>
      </c>
      <c r="AM3" s="219">
        <v>45023</v>
      </c>
      <c r="AN3" s="287" t="s">
        <v>286</v>
      </c>
      <c r="AO3" s="287"/>
      <c r="AP3" s="287" t="s">
        <v>287</v>
      </c>
      <c r="AQ3" s="288">
        <v>46084</v>
      </c>
      <c r="AR3" s="287"/>
      <c r="AS3" s="288" t="s">
        <v>288</v>
      </c>
      <c r="AT3" s="288" t="s">
        <v>288</v>
      </c>
      <c r="AU3" s="288" t="s">
        <v>288</v>
      </c>
      <c r="AV3" s="288" t="s">
        <v>288</v>
      </c>
      <c r="AW3" s="288"/>
      <c r="AX3" s="289"/>
      <c r="AY3" s="290"/>
      <c r="BB3" s="218">
        <v>18</v>
      </c>
      <c r="BC3" s="218"/>
      <c r="BD3" s="218"/>
      <c r="BE3" s="291"/>
      <c r="BG3" s="147"/>
      <c r="BH3" s="292">
        <f>M3</f>
        <v>653.26</v>
      </c>
      <c r="BK3" s="293">
        <v>1</v>
      </c>
      <c r="BL3" s="294">
        <f>BH3*BK3</f>
        <v>653.26</v>
      </c>
      <c r="BN3" s="295"/>
    </row>
    <row r="4" spans="1:74" ht="14.75" customHeight="1" thickBot="1" x14ac:dyDescent="0.25">
      <c r="A4" s="143" t="s">
        <v>288</v>
      </c>
      <c r="B4" s="223">
        <f>B3+1</f>
        <v>2</v>
      </c>
      <c r="C4" s="296" t="s">
        <v>289</v>
      </c>
      <c r="D4" s="224" t="s">
        <v>290</v>
      </c>
      <c r="E4" s="224"/>
      <c r="F4" s="224"/>
      <c r="G4" s="224"/>
      <c r="H4" s="224" t="s">
        <v>883</v>
      </c>
      <c r="I4" s="224" t="s">
        <v>762</v>
      </c>
      <c r="J4" s="224" t="s">
        <v>763</v>
      </c>
      <c r="K4" s="224" t="s">
        <v>291</v>
      </c>
      <c r="L4" s="297">
        <v>413.89414354514332</v>
      </c>
      <c r="M4" s="297">
        <v>646.70959928928642</v>
      </c>
      <c r="N4" s="298" t="s">
        <v>292</v>
      </c>
      <c r="O4" s="298" t="s">
        <v>293</v>
      </c>
      <c r="P4" s="299"/>
      <c r="Q4" s="298"/>
      <c r="R4" s="298" t="s">
        <v>294</v>
      </c>
      <c r="S4" s="298" t="s">
        <v>295</v>
      </c>
      <c r="T4" s="298" t="s">
        <v>296</v>
      </c>
      <c r="U4" s="298" t="s">
        <v>297</v>
      </c>
      <c r="V4" s="298" t="s">
        <v>298</v>
      </c>
      <c r="W4" s="298" t="s">
        <v>299</v>
      </c>
      <c r="X4" s="298" t="s">
        <v>300</v>
      </c>
      <c r="Y4" s="298" t="s">
        <v>301</v>
      </c>
      <c r="Z4" s="298" t="s">
        <v>280</v>
      </c>
      <c r="AA4" s="298" t="s">
        <v>302</v>
      </c>
      <c r="AB4" s="298" t="s">
        <v>303</v>
      </c>
      <c r="AC4" s="300" t="s">
        <v>304</v>
      </c>
      <c r="AD4" s="301" t="s">
        <v>305</v>
      </c>
      <c r="AE4" s="298" t="s">
        <v>306</v>
      </c>
      <c r="AF4" s="298" t="s">
        <v>307</v>
      </c>
      <c r="AG4" s="225"/>
      <c r="AH4" s="225">
        <v>44986</v>
      </c>
      <c r="AI4" s="225"/>
      <c r="AJ4" s="225"/>
      <c r="AK4" s="302" t="s">
        <v>284</v>
      </c>
      <c r="AL4" s="225" t="s">
        <v>285</v>
      </c>
      <c r="AM4" s="225">
        <v>45062</v>
      </c>
      <c r="AN4" s="302" t="s">
        <v>308</v>
      </c>
      <c r="AO4" s="302"/>
      <c r="AP4" s="302" t="s">
        <v>309</v>
      </c>
      <c r="AQ4" s="303">
        <v>46084</v>
      </c>
      <c r="AR4" s="302"/>
      <c r="AS4" s="303" t="s">
        <v>288</v>
      </c>
      <c r="AT4" s="303" t="s">
        <v>288</v>
      </c>
      <c r="AU4" s="303" t="s">
        <v>288</v>
      </c>
      <c r="AV4" s="303" t="s">
        <v>288</v>
      </c>
      <c r="AW4" s="303"/>
      <c r="AX4" s="304"/>
      <c r="AY4" s="305"/>
      <c r="BB4" s="224">
        <v>15</v>
      </c>
      <c r="BC4" s="224"/>
      <c r="BD4" s="224"/>
      <c r="BE4" s="306"/>
      <c r="BG4" s="147"/>
      <c r="BH4" s="307">
        <f t="shared" ref="BH4:BH28" si="0">M4</f>
        <v>646.70959928928642</v>
      </c>
      <c r="BI4" s="308"/>
      <c r="BJ4" s="308"/>
      <c r="BK4" s="309">
        <v>1</v>
      </c>
      <c r="BL4" s="310">
        <f t="shared" ref="BL4:BL28" si="1">BH4*BK4</f>
        <v>646.70959928928642</v>
      </c>
      <c r="BM4" s="308"/>
      <c r="BN4" s="311"/>
      <c r="BO4" s="529">
        <f>SUM(BL3:BL4)</f>
        <v>1299.9695992892864</v>
      </c>
      <c r="BP4" s="529">
        <f>BO4*BP1</f>
        <v>27299.361585075014</v>
      </c>
      <c r="BQ4" s="529">
        <f>BP4*BQ1</f>
        <v>109197.44634030006</v>
      </c>
      <c r="BR4" s="529">
        <v>0</v>
      </c>
      <c r="BS4" s="529">
        <f>BR4-BQ4</f>
        <v>-109197.44634030006</v>
      </c>
      <c r="BT4" s="529"/>
      <c r="BU4" s="529"/>
      <c r="BV4" s="529"/>
    </row>
    <row r="5" spans="1:74" ht="14.75" hidden="1" customHeight="1" x14ac:dyDescent="0.2">
      <c r="A5" s="143" t="s">
        <v>288</v>
      </c>
      <c r="B5" s="187">
        <f t="shared" ref="B5:B28" si="2">B4+1</f>
        <v>3</v>
      </c>
      <c r="C5" s="314" t="s">
        <v>310</v>
      </c>
      <c r="D5" s="169" t="s">
        <v>311</v>
      </c>
      <c r="E5" s="169" t="s">
        <v>312</v>
      </c>
      <c r="F5" s="169" t="s">
        <v>313</v>
      </c>
      <c r="G5" s="169"/>
      <c r="H5" s="169" t="s">
        <v>884</v>
      </c>
      <c r="I5" s="169" t="s">
        <v>764</v>
      </c>
      <c r="J5" s="169" t="s">
        <v>765</v>
      </c>
      <c r="K5" s="169" t="s">
        <v>314</v>
      </c>
      <c r="L5" s="315">
        <v>401</v>
      </c>
      <c r="M5" s="315">
        <v>626.5625</v>
      </c>
      <c r="N5" s="316" t="s">
        <v>315</v>
      </c>
      <c r="O5" s="316" t="s">
        <v>316</v>
      </c>
      <c r="P5" s="317" t="s">
        <v>120</v>
      </c>
      <c r="Q5" s="316" t="s">
        <v>317</v>
      </c>
      <c r="R5" s="316" t="s">
        <v>318</v>
      </c>
      <c r="S5" s="316" t="s">
        <v>319</v>
      </c>
      <c r="T5" s="316" t="s">
        <v>318</v>
      </c>
      <c r="U5" s="316" t="s">
        <v>297</v>
      </c>
      <c r="V5" s="316" t="s">
        <v>298</v>
      </c>
      <c r="W5" s="316" t="s">
        <v>320</v>
      </c>
      <c r="X5" s="316" t="s">
        <v>321</v>
      </c>
      <c r="Y5" s="316" t="s">
        <v>301</v>
      </c>
      <c r="Z5" s="316" t="s">
        <v>280</v>
      </c>
      <c r="AA5" s="316" t="s">
        <v>302</v>
      </c>
      <c r="AB5" s="316" t="s">
        <v>303</v>
      </c>
      <c r="AC5" s="318" t="s">
        <v>322</v>
      </c>
      <c r="AD5" s="319" t="s">
        <v>305</v>
      </c>
      <c r="AE5" s="316" t="s">
        <v>306</v>
      </c>
      <c r="AF5" s="316" t="s">
        <v>323</v>
      </c>
      <c r="AG5" s="170"/>
      <c r="AH5" s="170">
        <v>44949</v>
      </c>
      <c r="AI5" s="170"/>
      <c r="AJ5" s="170"/>
      <c r="AK5" s="320" t="s">
        <v>284</v>
      </c>
      <c r="AL5" s="170" t="s">
        <v>285</v>
      </c>
      <c r="AM5" s="170">
        <v>45068</v>
      </c>
      <c r="AN5" s="321" t="s">
        <v>308</v>
      </c>
      <c r="AO5" s="322">
        <v>45446</v>
      </c>
      <c r="AP5" s="322" t="s">
        <v>324</v>
      </c>
      <c r="AQ5" s="323">
        <v>46086</v>
      </c>
      <c r="AR5" s="322"/>
      <c r="AS5" s="323" t="s">
        <v>288</v>
      </c>
      <c r="AT5" s="323"/>
      <c r="AU5" s="323" t="s">
        <v>288</v>
      </c>
      <c r="AV5" s="323" t="s">
        <v>288</v>
      </c>
      <c r="AW5" s="323"/>
      <c r="AX5" s="324"/>
      <c r="AY5" s="290" t="s">
        <v>325</v>
      </c>
      <c r="BB5" s="169">
        <v>18</v>
      </c>
      <c r="BC5" s="169"/>
      <c r="BD5" s="169"/>
      <c r="BE5" s="325"/>
      <c r="BG5" s="147"/>
      <c r="BH5" s="326">
        <f t="shared" si="0"/>
        <v>626.5625</v>
      </c>
      <c r="BI5" s="327"/>
      <c r="BJ5" s="327"/>
      <c r="BK5" s="328">
        <v>1</v>
      </c>
      <c r="BL5" s="329">
        <f t="shared" si="1"/>
        <v>626.5625</v>
      </c>
      <c r="BM5" s="327"/>
      <c r="BN5" s="330"/>
      <c r="BO5" s="529"/>
      <c r="BP5" s="529"/>
      <c r="BQ5" s="529"/>
      <c r="BR5" s="529"/>
      <c r="BS5" s="529"/>
      <c r="BT5" s="529"/>
      <c r="BU5" s="529"/>
      <c r="BV5" s="529"/>
    </row>
    <row r="6" spans="1:74" ht="14.75" hidden="1" customHeight="1" x14ac:dyDescent="0.2">
      <c r="A6" s="143" t="s">
        <v>288</v>
      </c>
      <c r="B6" s="223">
        <f t="shared" si="2"/>
        <v>4</v>
      </c>
      <c r="C6" s="296" t="s">
        <v>326</v>
      </c>
      <c r="D6" s="224" t="s">
        <v>311</v>
      </c>
      <c r="E6" s="224" t="s">
        <v>26</v>
      </c>
      <c r="F6" s="224" t="s">
        <v>26</v>
      </c>
      <c r="G6" s="224"/>
      <c r="H6" s="224" t="s">
        <v>885</v>
      </c>
      <c r="I6" s="224" t="s">
        <v>766</v>
      </c>
      <c r="J6" s="224" t="s">
        <v>767</v>
      </c>
      <c r="K6" s="224" t="s">
        <v>327</v>
      </c>
      <c r="L6" s="297">
        <v>295.54542277683282</v>
      </c>
      <c r="M6" s="297">
        <v>461.78972308880128</v>
      </c>
      <c r="N6" s="298" t="s">
        <v>328</v>
      </c>
      <c r="O6" s="298" t="s">
        <v>329</v>
      </c>
      <c r="P6" s="331" t="s">
        <v>330</v>
      </c>
      <c r="Q6" s="298" t="s">
        <v>331</v>
      </c>
      <c r="R6" s="298" t="s">
        <v>332</v>
      </c>
      <c r="S6" s="298" t="s">
        <v>333</v>
      </c>
      <c r="T6" s="298" t="s">
        <v>334</v>
      </c>
      <c r="U6" s="298" t="s">
        <v>335</v>
      </c>
      <c r="V6" s="298" t="s">
        <v>336</v>
      </c>
      <c r="W6" s="298" t="s">
        <v>337</v>
      </c>
      <c r="X6" s="298" t="s">
        <v>338</v>
      </c>
      <c r="Y6" s="298" t="s">
        <v>339</v>
      </c>
      <c r="Z6" s="298" t="s">
        <v>340</v>
      </c>
      <c r="AA6" s="298" t="s">
        <v>302</v>
      </c>
      <c r="AB6" s="298" t="s">
        <v>303</v>
      </c>
      <c r="AC6" s="300" t="s">
        <v>341</v>
      </c>
      <c r="AD6" s="301" t="s">
        <v>305</v>
      </c>
      <c r="AE6" s="298" t="s">
        <v>342</v>
      </c>
      <c r="AF6" s="298" t="s">
        <v>323</v>
      </c>
      <c r="AG6" s="225"/>
      <c r="AH6" s="225">
        <v>44942</v>
      </c>
      <c r="AI6" s="225"/>
      <c r="AJ6" s="225"/>
      <c r="AK6" s="302" t="s">
        <v>284</v>
      </c>
      <c r="AL6" s="225" t="s">
        <v>285</v>
      </c>
      <c r="AM6" s="225">
        <v>45062</v>
      </c>
      <c r="AN6" s="302" t="s">
        <v>286</v>
      </c>
      <c r="AO6" s="332">
        <v>45446</v>
      </c>
      <c r="AP6" s="332" t="s">
        <v>343</v>
      </c>
      <c r="AQ6" s="303">
        <v>46084</v>
      </c>
      <c r="AR6" s="332" t="s">
        <v>344</v>
      </c>
      <c r="AS6" s="303" t="s">
        <v>288</v>
      </c>
      <c r="AT6" s="303" t="s">
        <v>288</v>
      </c>
      <c r="AU6" s="303"/>
      <c r="AV6" s="303" t="s">
        <v>288</v>
      </c>
      <c r="AW6" s="303"/>
      <c r="AX6" s="304"/>
      <c r="AY6" s="305"/>
      <c r="BB6" s="224">
        <v>18</v>
      </c>
      <c r="BC6" s="224"/>
      <c r="BD6" s="224"/>
      <c r="BE6" s="306"/>
      <c r="BG6" s="147"/>
      <c r="BH6" s="333">
        <f t="shared" si="0"/>
        <v>461.78972308880128</v>
      </c>
      <c r="BI6" s="334"/>
      <c r="BJ6" s="334"/>
      <c r="BK6" s="335">
        <v>1</v>
      </c>
      <c r="BL6" s="336">
        <f t="shared" si="1"/>
        <v>461.78972308880128</v>
      </c>
      <c r="BM6" s="334"/>
      <c r="BN6" s="337"/>
      <c r="BO6" s="529"/>
      <c r="BP6" s="529"/>
      <c r="BQ6" s="529"/>
      <c r="BR6" s="529"/>
      <c r="BS6" s="529"/>
      <c r="BT6" s="529"/>
      <c r="BU6" s="529"/>
      <c r="BV6" s="529"/>
    </row>
    <row r="7" spans="1:74" ht="14.75" hidden="1" customHeight="1" x14ac:dyDescent="0.2">
      <c r="A7" s="505" t="s">
        <v>288</v>
      </c>
      <c r="B7" s="187">
        <f t="shared" si="2"/>
        <v>5</v>
      </c>
      <c r="C7" s="338" t="s">
        <v>345</v>
      </c>
      <c r="D7" s="169" t="s">
        <v>311</v>
      </c>
      <c r="E7" s="169" t="s">
        <v>36</v>
      </c>
      <c r="F7" s="169" t="s">
        <v>36</v>
      </c>
      <c r="G7" s="169"/>
      <c r="H7" s="169" t="s">
        <v>886</v>
      </c>
      <c r="I7" s="169" t="s">
        <v>768</v>
      </c>
      <c r="J7" s="169" t="s">
        <v>765</v>
      </c>
      <c r="K7" s="169" t="s">
        <v>314</v>
      </c>
      <c r="L7" s="315">
        <v>337</v>
      </c>
      <c r="M7" s="315">
        <v>526.5625</v>
      </c>
      <c r="N7" s="316" t="s">
        <v>346</v>
      </c>
      <c r="O7" s="316" t="s">
        <v>347</v>
      </c>
      <c r="P7" s="339" t="s">
        <v>348</v>
      </c>
      <c r="Q7" s="316" t="s">
        <v>349</v>
      </c>
      <c r="R7" s="316" t="s">
        <v>350</v>
      </c>
      <c r="S7" s="316" t="s">
        <v>351</v>
      </c>
      <c r="T7" s="316" t="s">
        <v>352</v>
      </c>
      <c r="U7" s="316" t="s">
        <v>353</v>
      </c>
      <c r="V7" s="316" t="s">
        <v>354</v>
      </c>
      <c r="W7" s="316" t="s">
        <v>355</v>
      </c>
      <c r="X7" s="316" t="s">
        <v>356</v>
      </c>
      <c r="Y7" s="316" t="s">
        <v>301</v>
      </c>
      <c r="Z7" s="316" t="s">
        <v>280</v>
      </c>
      <c r="AA7" s="316" t="s">
        <v>302</v>
      </c>
      <c r="AB7" s="316" t="s">
        <v>303</v>
      </c>
      <c r="AC7" s="318" t="s">
        <v>357</v>
      </c>
      <c r="AD7" s="319" t="s">
        <v>305</v>
      </c>
      <c r="AE7" s="316" t="s">
        <v>306</v>
      </c>
      <c r="AF7" s="316" t="s">
        <v>283</v>
      </c>
      <c r="AG7" s="170"/>
      <c r="AH7" s="170">
        <v>44938</v>
      </c>
      <c r="AI7" s="170"/>
      <c r="AJ7" s="170"/>
      <c r="AK7" s="320" t="s">
        <v>284</v>
      </c>
      <c r="AL7" s="170" t="s">
        <v>285</v>
      </c>
      <c r="AM7" s="170">
        <v>45108</v>
      </c>
      <c r="AN7" s="320" t="s">
        <v>286</v>
      </c>
      <c r="AO7" s="340" t="s">
        <v>358</v>
      </c>
      <c r="AP7" s="340" t="s">
        <v>359</v>
      </c>
      <c r="AQ7" s="323">
        <v>46084</v>
      </c>
      <c r="AR7" s="340"/>
      <c r="AS7" s="323" t="s">
        <v>288</v>
      </c>
      <c r="AT7" s="323"/>
      <c r="AU7" s="323"/>
      <c r="AV7" s="323" t="s">
        <v>288</v>
      </c>
      <c r="AW7" s="323"/>
      <c r="AX7" s="324"/>
      <c r="AY7" s="290" t="s">
        <v>325</v>
      </c>
      <c r="BB7" s="169">
        <v>18</v>
      </c>
      <c r="BC7" s="169"/>
      <c r="BD7" s="169"/>
      <c r="BE7" s="325"/>
      <c r="BG7" s="147"/>
      <c r="BH7" s="341">
        <f t="shared" si="0"/>
        <v>526.5625</v>
      </c>
      <c r="BI7" s="342"/>
      <c r="BJ7" s="342"/>
      <c r="BK7" s="343">
        <v>1</v>
      </c>
      <c r="BL7" s="344">
        <f t="shared" si="1"/>
        <v>526.5625</v>
      </c>
      <c r="BM7" s="342"/>
      <c r="BN7" s="345"/>
      <c r="BO7" s="529">
        <f>SUM(BL5:BL7)</f>
        <v>1614.9147230888013</v>
      </c>
      <c r="BP7" s="529">
        <f>BO7*BP1</f>
        <v>33913.209184864827</v>
      </c>
      <c r="BQ7" s="529">
        <f>BP7*BQ1</f>
        <v>135652.83673945931</v>
      </c>
      <c r="BR7" s="529">
        <f>SUMIFS(MEV!O:O,MEV!C:C,"BEP",MEV!L:L,"approvato")+SUMIFS(MEV!O:O,MEV!C:C,"NPSO",MEV!L:L,"approvato")</f>
        <v>255112.71</v>
      </c>
      <c r="BS7" s="529">
        <f>BR7-BQ7</f>
        <v>119459.87326054068</v>
      </c>
      <c r="BT7" s="529">
        <f>BP7*BT1</f>
        <v>406958.51021837792</v>
      </c>
      <c r="BU7" s="529">
        <f>SUMIFS(MEV!O:O,MEV!C:C,"BEP",MEV!L:L,"In approvazione")+SUMIFS(MEV!O:O,MEV!C:C,"NPSO",MEV!L:L,"In approvazione")</f>
        <v>487004.38</v>
      </c>
      <c r="BV7" s="529"/>
    </row>
    <row r="8" spans="1:74" ht="14.75" hidden="1" customHeight="1" x14ac:dyDescent="0.2">
      <c r="A8" s="143" t="s">
        <v>288</v>
      </c>
      <c r="B8" s="223">
        <f t="shared" si="2"/>
        <v>6</v>
      </c>
      <c r="C8" s="296" t="s">
        <v>360</v>
      </c>
      <c r="D8" s="224" t="s">
        <v>361</v>
      </c>
      <c r="E8" s="224" t="s">
        <v>362</v>
      </c>
      <c r="F8" s="224" t="s">
        <v>48</v>
      </c>
      <c r="G8" s="224"/>
      <c r="H8" s="224" t="s">
        <v>887</v>
      </c>
      <c r="I8" s="224" t="s">
        <v>769</v>
      </c>
      <c r="J8" s="224" t="s">
        <v>770</v>
      </c>
      <c r="K8" s="224" t="s">
        <v>270</v>
      </c>
      <c r="L8" s="297">
        <v>295</v>
      </c>
      <c r="M8" s="297">
        <v>460.9375</v>
      </c>
      <c r="N8" s="298" t="s">
        <v>363</v>
      </c>
      <c r="O8" s="452" t="s">
        <v>364</v>
      </c>
      <c r="P8" s="299"/>
      <c r="Q8" s="298" t="s">
        <v>365</v>
      </c>
      <c r="R8" s="298" t="s">
        <v>366</v>
      </c>
      <c r="S8" s="298" t="s">
        <v>367</v>
      </c>
      <c r="T8" s="298" t="s">
        <v>366</v>
      </c>
      <c r="U8" s="298" t="s">
        <v>297</v>
      </c>
      <c r="V8" s="298" t="s">
        <v>298</v>
      </c>
      <c r="W8" s="298" t="s">
        <v>368</v>
      </c>
      <c r="X8" s="298" t="s">
        <v>369</v>
      </c>
      <c r="Y8" s="298" t="s">
        <v>301</v>
      </c>
      <c r="Z8" s="298" t="s">
        <v>280</v>
      </c>
      <c r="AA8" s="298" t="s">
        <v>302</v>
      </c>
      <c r="AB8" s="298" t="s">
        <v>303</v>
      </c>
      <c r="AC8" s="300" t="s">
        <v>370</v>
      </c>
      <c r="AD8" s="301" t="s">
        <v>371</v>
      </c>
      <c r="AE8" s="298" t="s">
        <v>372</v>
      </c>
      <c r="AF8" s="298" t="s">
        <v>283</v>
      </c>
      <c r="AG8" s="464">
        <v>46106</v>
      </c>
      <c r="AH8" s="225">
        <v>44949</v>
      </c>
      <c r="AI8" s="225"/>
      <c r="AJ8" s="225"/>
      <c r="AK8" s="302" t="s">
        <v>284</v>
      </c>
      <c r="AL8" s="225" t="s">
        <v>285</v>
      </c>
      <c r="AM8" s="225">
        <v>45205</v>
      </c>
      <c r="AN8" s="302" t="s">
        <v>308</v>
      </c>
      <c r="AO8" s="346" t="s">
        <v>358</v>
      </c>
      <c r="AP8" s="346" t="s">
        <v>373</v>
      </c>
      <c r="AQ8" s="303">
        <v>46090</v>
      </c>
      <c r="AR8" s="346"/>
      <c r="AS8" s="303" t="s">
        <v>288</v>
      </c>
      <c r="AT8" s="303"/>
      <c r="AU8" s="303" t="s">
        <v>288</v>
      </c>
      <c r="AV8" s="303" t="s">
        <v>288</v>
      </c>
      <c r="AW8" s="303"/>
      <c r="AX8" s="304"/>
      <c r="AY8" s="305"/>
      <c r="BB8" s="224">
        <v>15</v>
      </c>
      <c r="BC8" s="224"/>
      <c r="BD8" s="224"/>
      <c r="BE8" s="306"/>
      <c r="BG8" s="147"/>
      <c r="BH8" s="347">
        <f t="shared" si="0"/>
        <v>460.9375</v>
      </c>
      <c r="BI8" s="348"/>
      <c r="BJ8" s="348"/>
      <c r="BK8" s="349">
        <v>1</v>
      </c>
      <c r="BL8" s="350">
        <f t="shared" si="1"/>
        <v>460.9375</v>
      </c>
      <c r="BM8" s="348"/>
      <c r="BN8" s="351"/>
      <c r="BO8" s="529"/>
      <c r="BP8" s="529"/>
      <c r="BQ8" s="529"/>
      <c r="BR8" s="529"/>
      <c r="BS8" s="529"/>
      <c r="BT8" s="529"/>
      <c r="BU8" s="529"/>
      <c r="BV8" s="529"/>
    </row>
    <row r="9" spans="1:74" ht="14.75" hidden="1" customHeight="1" x14ac:dyDescent="0.2">
      <c r="A9" s="143" t="s">
        <v>288</v>
      </c>
      <c r="B9" s="187">
        <f t="shared" si="2"/>
        <v>7</v>
      </c>
      <c r="C9" s="314" t="s">
        <v>374</v>
      </c>
      <c r="D9" s="169" t="s">
        <v>361</v>
      </c>
      <c r="E9" s="169" t="s">
        <v>375</v>
      </c>
      <c r="F9" s="169" t="s">
        <v>47</v>
      </c>
      <c r="G9" s="169"/>
      <c r="H9" s="169" t="s">
        <v>888</v>
      </c>
      <c r="I9" s="169" t="s">
        <v>771</v>
      </c>
      <c r="J9" s="169" t="s">
        <v>772</v>
      </c>
      <c r="K9" s="169" t="s">
        <v>376</v>
      </c>
      <c r="L9" s="315">
        <v>214</v>
      </c>
      <c r="M9" s="315">
        <v>334.375</v>
      </c>
      <c r="N9" s="316" t="s">
        <v>377</v>
      </c>
      <c r="O9" s="316" t="s">
        <v>378</v>
      </c>
      <c r="P9" s="352"/>
      <c r="Q9" s="316" t="s">
        <v>379</v>
      </c>
      <c r="R9" s="316" t="s">
        <v>380</v>
      </c>
      <c r="S9" s="316" t="s">
        <v>381</v>
      </c>
      <c r="T9" s="316" t="s">
        <v>380</v>
      </c>
      <c r="U9" s="316" t="s">
        <v>297</v>
      </c>
      <c r="V9" s="316" t="s">
        <v>298</v>
      </c>
      <c r="W9" s="316" t="s">
        <v>382</v>
      </c>
      <c r="X9" s="316" t="s">
        <v>383</v>
      </c>
      <c r="Y9" s="316" t="s">
        <v>301</v>
      </c>
      <c r="Z9" s="316" t="s">
        <v>280</v>
      </c>
      <c r="AA9" s="316" t="s">
        <v>302</v>
      </c>
      <c r="AB9" s="316" t="s">
        <v>303</v>
      </c>
      <c r="AC9" s="318" t="s">
        <v>384</v>
      </c>
      <c r="AD9" s="319" t="s">
        <v>305</v>
      </c>
      <c r="AE9" s="316" t="s">
        <v>306</v>
      </c>
      <c r="AF9" s="316" t="s">
        <v>283</v>
      </c>
      <c r="AG9" s="170"/>
      <c r="AH9" s="170">
        <v>44942</v>
      </c>
      <c r="AI9" s="170"/>
      <c r="AJ9" s="170"/>
      <c r="AK9" s="320" t="s">
        <v>284</v>
      </c>
      <c r="AL9" s="170" t="s">
        <v>285</v>
      </c>
      <c r="AM9" s="170">
        <v>45317</v>
      </c>
      <c r="AN9" s="320" t="s">
        <v>286</v>
      </c>
      <c r="AO9" s="340" t="s">
        <v>358</v>
      </c>
      <c r="AP9" s="340" t="s">
        <v>385</v>
      </c>
      <c r="AQ9" s="323">
        <v>46084</v>
      </c>
      <c r="AR9" s="340"/>
      <c r="AS9" s="323" t="s">
        <v>288</v>
      </c>
      <c r="AT9" s="323"/>
      <c r="AU9" s="323"/>
      <c r="AV9" s="323" t="s">
        <v>288</v>
      </c>
      <c r="AW9" s="323"/>
      <c r="AX9" s="324"/>
      <c r="AY9" s="290" t="s">
        <v>325</v>
      </c>
      <c r="BB9" s="169">
        <v>18</v>
      </c>
      <c r="BC9" s="169"/>
      <c r="BD9" s="169"/>
      <c r="BE9" s="325"/>
      <c r="BG9" s="147"/>
      <c r="BH9" s="292">
        <f t="shared" si="0"/>
        <v>334.375</v>
      </c>
      <c r="BK9" s="293">
        <v>1</v>
      </c>
      <c r="BL9" s="294">
        <f t="shared" si="1"/>
        <v>334.375</v>
      </c>
      <c r="BN9" s="295"/>
      <c r="BO9" s="529"/>
      <c r="BP9" s="529"/>
      <c r="BQ9" s="529"/>
      <c r="BR9" s="529"/>
      <c r="BS9" s="529"/>
      <c r="BT9" s="529"/>
      <c r="BU9" s="529"/>
      <c r="BV9" s="529"/>
    </row>
    <row r="10" spans="1:74" ht="14.75" hidden="1" customHeight="1" x14ac:dyDescent="0.2">
      <c r="A10" s="143" t="s">
        <v>288</v>
      </c>
      <c r="B10" s="223">
        <f t="shared" si="2"/>
        <v>8</v>
      </c>
      <c r="C10" s="296" t="s">
        <v>386</v>
      </c>
      <c r="D10" s="224" t="s">
        <v>361</v>
      </c>
      <c r="E10" s="224" t="s">
        <v>375</v>
      </c>
      <c r="F10" s="224" t="s">
        <v>46</v>
      </c>
      <c r="G10" s="224"/>
      <c r="H10" s="224" t="s">
        <v>889</v>
      </c>
      <c r="I10" s="224" t="s">
        <v>773</v>
      </c>
      <c r="J10" s="224" t="s">
        <v>774</v>
      </c>
      <c r="K10" s="224" t="s">
        <v>387</v>
      </c>
      <c r="L10" s="297">
        <v>219</v>
      </c>
      <c r="M10" s="297">
        <v>342.1875</v>
      </c>
      <c r="N10" s="298" t="s">
        <v>388</v>
      </c>
      <c r="O10" s="452" t="s">
        <v>389</v>
      </c>
      <c r="P10" s="299"/>
      <c r="Q10" s="353" t="s">
        <v>390</v>
      </c>
      <c r="R10" s="298" t="s">
        <v>391</v>
      </c>
      <c r="S10" s="298" t="s">
        <v>392</v>
      </c>
      <c r="T10" s="298" t="s">
        <v>393</v>
      </c>
      <c r="U10" s="298" t="s">
        <v>297</v>
      </c>
      <c r="V10" s="298" t="s">
        <v>298</v>
      </c>
      <c r="W10" s="298" t="s">
        <v>394</v>
      </c>
      <c r="X10" s="298" t="s">
        <v>395</v>
      </c>
      <c r="Y10" s="298" t="s">
        <v>301</v>
      </c>
      <c r="Z10" s="298" t="s">
        <v>280</v>
      </c>
      <c r="AA10" s="298" t="s">
        <v>302</v>
      </c>
      <c r="AB10" s="298" t="s">
        <v>303</v>
      </c>
      <c r="AC10" s="300" t="s">
        <v>396</v>
      </c>
      <c r="AD10" s="301" t="s">
        <v>305</v>
      </c>
      <c r="AE10" s="298" t="s">
        <v>306</v>
      </c>
      <c r="AF10" s="298" t="s">
        <v>397</v>
      </c>
      <c r="AG10" s="225">
        <v>46105</v>
      </c>
      <c r="AH10" s="225">
        <v>45359</v>
      </c>
      <c r="AI10" s="225"/>
      <c r="AJ10" s="225"/>
      <c r="AK10" s="302" t="s">
        <v>284</v>
      </c>
      <c r="AL10" s="225" t="s">
        <v>285</v>
      </c>
      <c r="AM10" s="225">
        <v>45108</v>
      </c>
      <c r="AN10" s="302" t="s">
        <v>308</v>
      </c>
      <c r="AO10" s="332">
        <v>45435</v>
      </c>
      <c r="AP10" s="332" t="s">
        <v>398</v>
      </c>
      <c r="AQ10" s="303">
        <v>46084</v>
      </c>
      <c r="AR10" s="332"/>
      <c r="AS10" s="303" t="s">
        <v>288</v>
      </c>
      <c r="AT10" s="303"/>
      <c r="AU10" s="303"/>
      <c r="AV10" s="303" t="s">
        <v>288</v>
      </c>
      <c r="AW10" s="303"/>
      <c r="AX10" s="304"/>
      <c r="AY10" s="305"/>
      <c r="BB10" s="224">
        <v>15</v>
      </c>
      <c r="BC10" s="224"/>
      <c r="BD10" s="224"/>
      <c r="BE10" s="306"/>
      <c r="BG10" s="147"/>
      <c r="BH10" s="333">
        <f t="shared" si="0"/>
        <v>342.1875</v>
      </c>
      <c r="BI10" s="334"/>
      <c r="BJ10" s="334"/>
      <c r="BK10" s="335">
        <v>1</v>
      </c>
      <c r="BL10" s="336">
        <f t="shared" si="1"/>
        <v>342.1875</v>
      </c>
      <c r="BM10" s="334"/>
      <c r="BN10" s="337"/>
      <c r="BO10" s="529"/>
      <c r="BP10" s="529"/>
      <c r="BQ10" s="529"/>
      <c r="BR10" s="529"/>
      <c r="BS10" s="529"/>
      <c r="BT10" s="529"/>
      <c r="BU10" s="529"/>
      <c r="BV10" s="529"/>
    </row>
    <row r="11" spans="1:74" ht="14.75" hidden="1" customHeight="1" x14ac:dyDescent="0.2">
      <c r="A11" s="143" t="s">
        <v>288</v>
      </c>
      <c r="B11" s="223">
        <f t="shared" si="2"/>
        <v>9</v>
      </c>
      <c r="C11" s="296" t="s">
        <v>399</v>
      </c>
      <c r="D11" s="224" t="s">
        <v>400</v>
      </c>
      <c r="E11" s="224" t="s">
        <v>401</v>
      </c>
      <c r="F11" s="224" t="s">
        <v>402</v>
      </c>
      <c r="G11" s="224"/>
      <c r="H11" s="224" t="s">
        <v>890</v>
      </c>
      <c r="I11" s="224" t="s">
        <v>775</v>
      </c>
      <c r="J11" s="224" t="s">
        <v>776</v>
      </c>
      <c r="K11" s="224" t="s">
        <v>403</v>
      </c>
      <c r="L11" s="297">
        <v>218</v>
      </c>
      <c r="M11" s="297">
        <v>340.625</v>
      </c>
      <c r="N11" s="298" t="s">
        <v>404</v>
      </c>
      <c r="O11" s="452" t="s">
        <v>405</v>
      </c>
      <c r="P11" s="299"/>
      <c r="Q11" s="298" t="s">
        <v>406</v>
      </c>
      <c r="R11" s="298" t="s">
        <v>407</v>
      </c>
      <c r="S11" s="298" t="s">
        <v>408</v>
      </c>
      <c r="T11" s="298" t="s">
        <v>409</v>
      </c>
      <c r="U11" s="298" t="s">
        <v>297</v>
      </c>
      <c r="V11" s="298" t="s">
        <v>298</v>
      </c>
      <c r="W11" s="298" t="s">
        <v>299</v>
      </c>
      <c r="X11" s="298" t="s">
        <v>410</v>
      </c>
      <c r="Y11" s="298" t="s">
        <v>301</v>
      </c>
      <c r="Z11" s="298" t="s">
        <v>280</v>
      </c>
      <c r="AA11" s="298" t="s">
        <v>411</v>
      </c>
      <c r="AB11" s="298" t="s">
        <v>303</v>
      </c>
      <c r="AC11" s="300" t="s">
        <v>412</v>
      </c>
      <c r="AD11" s="301" t="s">
        <v>305</v>
      </c>
      <c r="AE11" s="298" t="s">
        <v>306</v>
      </c>
      <c r="AF11" s="298" t="s">
        <v>397</v>
      </c>
      <c r="AG11" s="464">
        <v>46106</v>
      </c>
      <c r="AH11" s="225">
        <v>45055</v>
      </c>
      <c r="AI11" s="225"/>
      <c r="AJ11" s="225"/>
      <c r="AK11" s="302" t="s">
        <v>284</v>
      </c>
      <c r="AL11" s="225" t="s">
        <v>285</v>
      </c>
      <c r="AM11" s="225">
        <v>45321</v>
      </c>
      <c r="AN11" s="302" t="s">
        <v>286</v>
      </c>
      <c r="AO11" s="354">
        <v>45433</v>
      </c>
      <c r="AP11" s="354" t="s">
        <v>413</v>
      </c>
      <c r="AQ11" s="303">
        <v>46087</v>
      </c>
      <c r="AR11" s="354"/>
      <c r="AS11" s="303" t="s">
        <v>288</v>
      </c>
      <c r="AT11" s="303"/>
      <c r="AU11" s="303"/>
      <c r="AV11" s="303" t="s">
        <v>288</v>
      </c>
      <c r="AW11" s="303"/>
      <c r="AX11" s="304"/>
      <c r="AY11" s="305"/>
      <c r="BB11" s="224">
        <v>15</v>
      </c>
      <c r="BC11" s="224"/>
      <c r="BD11" s="224"/>
      <c r="BE11" s="306"/>
      <c r="BG11" s="147"/>
      <c r="BH11" s="333">
        <f t="shared" si="0"/>
        <v>340.625</v>
      </c>
      <c r="BI11" s="334"/>
      <c r="BJ11" s="334"/>
      <c r="BK11" s="335">
        <v>1</v>
      </c>
      <c r="BL11" s="336">
        <f t="shared" si="1"/>
        <v>340.625</v>
      </c>
      <c r="BM11" s="334"/>
      <c r="BN11" s="337"/>
      <c r="BO11" s="529"/>
      <c r="BP11" s="529"/>
      <c r="BQ11" s="529"/>
      <c r="BR11" s="529"/>
      <c r="BS11" s="529"/>
      <c r="BT11" s="529"/>
      <c r="BU11" s="529"/>
      <c r="BV11" s="529"/>
    </row>
    <row r="12" spans="1:74" ht="14.75" hidden="1" customHeight="1" x14ac:dyDescent="0.2">
      <c r="A12" s="143" t="s">
        <v>288</v>
      </c>
      <c r="B12" s="223">
        <f t="shared" si="2"/>
        <v>10</v>
      </c>
      <c r="C12" s="338" t="s">
        <v>414</v>
      </c>
      <c r="D12" s="169" t="s">
        <v>415</v>
      </c>
      <c r="E12" s="169" t="s">
        <v>416</v>
      </c>
      <c r="F12" s="169"/>
      <c r="G12" s="169"/>
      <c r="H12" s="169" t="s">
        <v>891</v>
      </c>
      <c r="I12" s="169" t="s">
        <v>775</v>
      </c>
      <c r="J12" s="169" t="s">
        <v>776</v>
      </c>
      <c r="K12" s="169" t="s">
        <v>403</v>
      </c>
      <c r="L12" s="315">
        <v>218</v>
      </c>
      <c r="M12" s="315">
        <v>340.625</v>
      </c>
      <c r="N12" s="316" t="s">
        <v>417</v>
      </c>
      <c r="O12" s="316" t="s">
        <v>418</v>
      </c>
      <c r="P12" s="352"/>
      <c r="Q12" s="316" t="s">
        <v>419</v>
      </c>
      <c r="R12" s="316" t="s">
        <v>420</v>
      </c>
      <c r="S12" s="316" t="s">
        <v>421</v>
      </c>
      <c r="T12" s="316" t="s">
        <v>420</v>
      </c>
      <c r="U12" s="316" t="s">
        <v>297</v>
      </c>
      <c r="V12" s="316" t="s">
        <v>298</v>
      </c>
      <c r="W12" s="316" t="s">
        <v>422</v>
      </c>
      <c r="X12" s="316" t="s">
        <v>423</v>
      </c>
      <c r="Y12" s="316" t="s">
        <v>301</v>
      </c>
      <c r="Z12" s="316" t="s">
        <v>280</v>
      </c>
      <c r="AA12" s="316" t="s">
        <v>302</v>
      </c>
      <c r="AB12" s="316" t="s">
        <v>303</v>
      </c>
      <c r="AC12" s="318" t="s">
        <v>396</v>
      </c>
      <c r="AD12" s="319" t="s">
        <v>305</v>
      </c>
      <c r="AE12" s="316" t="s">
        <v>306</v>
      </c>
      <c r="AF12" s="316" t="s">
        <v>397</v>
      </c>
      <c r="AG12" s="465">
        <v>46106</v>
      </c>
      <c r="AH12" s="170">
        <v>45100</v>
      </c>
      <c r="AI12" s="170"/>
      <c r="AJ12" s="170"/>
      <c r="AK12" s="320" t="s">
        <v>284</v>
      </c>
      <c r="AL12" s="170" t="s">
        <v>285</v>
      </c>
      <c r="AM12" s="170">
        <v>45323</v>
      </c>
      <c r="AN12" s="320" t="s">
        <v>286</v>
      </c>
      <c r="AO12" s="322">
        <v>45448</v>
      </c>
      <c r="AP12" s="322" t="s">
        <v>424</v>
      </c>
      <c r="AQ12" s="323">
        <v>46084</v>
      </c>
      <c r="AR12" s="322"/>
      <c r="AS12" s="323" t="s">
        <v>288</v>
      </c>
      <c r="AT12" s="323"/>
      <c r="AU12" s="323"/>
      <c r="AV12" s="323" t="s">
        <v>288</v>
      </c>
      <c r="AW12" s="323"/>
      <c r="AX12" s="324"/>
      <c r="AY12" s="290"/>
      <c r="BB12" s="169">
        <v>18</v>
      </c>
      <c r="BC12" s="169"/>
      <c r="BD12" s="169"/>
      <c r="BE12" s="325"/>
      <c r="BG12" s="147"/>
      <c r="BH12" s="341">
        <f t="shared" si="0"/>
        <v>340.625</v>
      </c>
      <c r="BI12" s="342"/>
      <c r="BJ12" s="342"/>
      <c r="BK12" s="343">
        <v>1</v>
      </c>
      <c r="BL12" s="344">
        <f>BH12*BK12</f>
        <v>340.625</v>
      </c>
      <c r="BM12" s="342"/>
      <c r="BN12" s="345"/>
      <c r="BO12" s="529">
        <f>SUM(BL8:BL12)</f>
        <v>1818.75</v>
      </c>
      <c r="BP12" s="529">
        <f>BO12*BP1</f>
        <v>38193.75</v>
      </c>
      <c r="BQ12" s="529">
        <f>(1569*3)+(BP12*4)</f>
        <v>157482</v>
      </c>
      <c r="BR12" s="529">
        <f>SUMIFS(MEV!O:O,MEV!C:C,"FMS",MEV!L:L,"approvato")+SUMIFS(MEV!O:O,MEV!C:C,"SGT",MEV!L:L,"approvato")+SUMIFS(MEV!O:O,MEV!C:C,"SAP LES",MEV!L:L,"approvato")</f>
        <v>0</v>
      </c>
      <c r="BS12" s="529">
        <f>BR12-BQ12</f>
        <v>-157482</v>
      </c>
      <c r="BT12" s="529">
        <f>BP12*BT1</f>
        <v>458325</v>
      </c>
      <c r="BU12" s="529"/>
      <c r="BV12" s="529"/>
    </row>
    <row r="13" spans="1:74" ht="14.5" hidden="1" customHeight="1" thickBot="1" x14ac:dyDescent="0.25">
      <c r="B13" s="223">
        <f t="shared" si="2"/>
        <v>11</v>
      </c>
      <c r="C13" s="296" t="s">
        <v>425</v>
      </c>
      <c r="D13" s="224" t="s">
        <v>426</v>
      </c>
      <c r="E13" s="224" t="s">
        <v>703</v>
      </c>
      <c r="F13" s="224" t="s">
        <v>703</v>
      </c>
      <c r="G13" s="224"/>
      <c r="H13" s="224" t="s">
        <v>892</v>
      </c>
      <c r="I13" s="224" t="s">
        <v>777</v>
      </c>
      <c r="J13" s="224" t="s">
        <v>778</v>
      </c>
      <c r="K13" s="224" t="s">
        <v>779</v>
      </c>
      <c r="L13" s="297">
        <v>459.99999999999983</v>
      </c>
      <c r="M13" s="297"/>
      <c r="N13" s="298" t="s">
        <v>427</v>
      </c>
      <c r="O13" s="298" t="s">
        <v>428</v>
      </c>
      <c r="P13" s="331" t="s">
        <v>429</v>
      </c>
      <c r="Q13" s="353" t="s">
        <v>430</v>
      </c>
      <c r="R13" s="298" t="s">
        <v>431</v>
      </c>
      <c r="S13" s="298" t="s">
        <v>432</v>
      </c>
      <c r="T13" s="298" t="s">
        <v>431</v>
      </c>
      <c r="U13" s="298" t="s">
        <v>353</v>
      </c>
      <c r="V13" s="298" t="s">
        <v>354</v>
      </c>
      <c r="W13" s="298" t="s">
        <v>337</v>
      </c>
      <c r="X13" s="298" t="s">
        <v>433</v>
      </c>
      <c r="Y13" s="298" t="s">
        <v>301</v>
      </c>
      <c r="Z13" s="298" t="s">
        <v>280</v>
      </c>
      <c r="AA13" s="298" t="s">
        <v>302</v>
      </c>
      <c r="AB13" s="298"/>
      <c r="AC13" s="300"/>
      <c r="AD13" s="301" t="s">
        <v>305</v>
      </c>
      <c r="AE13" s="298" t="s">
        <v>342</v>
      </c>
      <c r="AF13" s="298" t="s">
        <v>283</v>
      </c>
      <c r="AG13" s="225"/>
      <c r="AH13" s="225">
        <v>44942</v>
      </c>
      <c r="AI13" s="225"/>
      <c r="AJ13" s="225"/>
      <c r="AK13" s="302" t="s">
        <v>284</v>
      </c>
      <c r="AL13" s="225" t="s">
        <v>285</v>
      </c>
      <c r="AM13" s="225">
        <v>45144</v>
      </c>
      <c r="AN13" s="302" t="s">
        <v>308</v>
      </c>
      <c r="AO13" s="346" t="s">
        <v>358</v>
      </c>
      <c r="AP13" s="346" t="s">
        <v>434</v>
      </c>
      <c r="AQ13" s="303"/>
      <c r="AR13" s="346"/>
      <c r="AS13" s="303" t="s">
        <v>288</v>
      </c>
      <c r="AT13" s="303" t="s">
        <v>288</v>
      </c>
      <c r="AU13" s="303" t="s">
        <v>288</v>
      </c>
      <c r="AV13" s="303" t="s">
        <v>288</v>
      </c>
      <c r="AW13" s="303"/>
      <c r="AX13" s="304"/>
      <c r="AY13" s="305"/>
      <c r="BB13" s="224">
        <v>18</v>
      </c>
      <c r="BC13" s="224"/>
      <c r="BD13" s="224"/>
      <c r="BE13" s="306"/>
      <c r="BG13" s="147"/>
      <c r="BH13" s="347">
        <f t="shared" si="0"/>
        <v>0</v>
      </c>
      <c r="BI13" s="348"/>
      <c r="BJ13" s="348"/>
      <c r="BK13" s="349">
        <v>1</v>
      </c>
      <c r="BL13" s="350">
        <f t="shared" si="1"/>
        <v>0</v>
      </c>
      <c r="BM13" s="348"/>
      <c r="BN13" s="351"/>
      <c r="BO13" s="529"/>
      <c r="BP13" s="529"/>
      <c r="BQ13" s="529"/>
      <c r="BR13" s="529"/>
      <c r="BS13" s="529"/>
      <c r="BT13" s="529"/>
      <c r="BU13" s="529"/>
      <c r="BV13" s="529"/>
    </row>
    <row r="14" spans="1:74" ht="14.75" hidden="1" customHeight="1" x14ac:dyDescent="0.2">
      <c r="A14" s="143" t="s">
        <v>288</v>
      </c>
      <c r="B14" s="187">
        <f t="shared" si="2"/>
        <v>12</v>
      </c>
      <c r="C14" s="314" t="s">
        <v>435</v>
      </c>
      <c r="D14" s="169" t="s">
        <v>426</v>
      </c>
      <c r="E14" s="169" t="s">
        <v>703</v>
      </c>
      <c r="F14" s="169" t="s">
        <v>703</v>
      </c>
      <c r="G14" s="169"/>
      <c r="H14" s="169" t="s">
        <v>893</v>
      </c>
      <c r="I14" s="169" t="s">
        <v>780</v>
      </c>
      <c r="J14" s="169" t="s">
        <v>776</v>
      </c>
      <c r="K14" s="169" t="s">
        <v>403</v>
      </c>
      <c r="L14" s="315">
        <v>298</v>
      </c>
      <c r="M14" s="315"/>
      <c r="N14" s="316" t="s">
        <v>436</v>
      </c>
      <c r="O14" s="316" t="s">
        <v>437</v>
      </c>
      <c r="P14" s="339" t="s">
        <v>438</v>
      </c>
      <c r="Q14" s="355" t="s">
        <v>439</v>
      </c>
      <c r="R14" s="316" t="s">
        <v>440</v>
      </c>
      <c r="S14" s="316" t="s">
        <v>441</v>
      </c>
      <c r="T14" s="316" t="s">
        <v>440</v>
      </c>
      <c r="U14" s="316" t="s">
        <v>353</v>
      </c>
      <c r="V14" s="316" t="s">
        <v>442</v>
      </c>
      <c r="W14" s="316" t="s">
        <v>337</v>
      </c>
      <c r="X14" s="316" t="s">
        <v>443</v>
      </c>
      <c r="Y14" s="316" t="s">
        <v>339</v>
      </c>
      <c r="Z14" s="316" t="s">
        <v>340</v>
      </c>
      <c r="AA14" s="316" t="s">
        <v>302</v>
      </c>
      <c r="AB14" s="316" t="s">
        <v>303</v>
      </c>
      <c r="AC14" s="318" t="s">
        <v>444</v>
      </c>
      <c r="AD14" s="319" t="s">
        <v>305</v>
      </c>
      <c r="AE14" s="316" t="s">
        <v>342</v>
      </c>
      <c r="AF14" s="316" t="s">
        <v>307</v>
      </c>
      <c r="AG14" s="170"/>
      <c r="AH14" s="170">
        <v>44942</v>
      </c>
      <c r="AI14" s="170"/>
      <c r="AJ14" s="170"/>
      <c r="AK14" s="320" t="s">
        <v>284</v>
      </c>
      <c r="AL14" s="170" t="s">
        <v>285</v>
      </c>
      <c r="AM14" s="170">
        <v>45092</v>
      </c>
      <c r="AN14" s="320" t="s">
        <v>286</v>
      </c>
      <c r="AO14" s="322">
        <v>45436</v>
      </c>
      <c r="AP14" s="322" t="s">
        <v>445</v>
      </c>
      <c r="AQ14" s="323"/>
      <c r="AR14" s="322"/>
      <c r="AS14" s="323" t="s">
        <v>288</v>
      </c>
      <c r="AT14" s="323"/>
      <c r="AU14" s="323"/>
      <c r="AV14" s="323" t="s">
        <v>288</v>
      </c>
      <c r="AW14" s="323"/>
      <c r="AX14" s="324"/>
      <c r="AY14" s="290" t="s">
        <v>325</v>
      </c>
      <c r="BB14" s="169">
        <v>18</v>
      </c>
      <c r="BC14" s="169"/>
      <c r="BD14" s="169"/>
      <c r="BE14" s="325"/>
      <c r="BG14" s="147"/>
      <c r="BH14" s="292">
        <f t="shared" si="0"/>
        <v>0</v>
      </c>
      <c r="BK14" s="293">
        <v>1</v>
      </c>
      <c r="BL14" s="294">
        <f t="shared" si="1"/>
        <v>0</v>
      </c>
      <c r="BN14" s="295"/>
      <c r="BO14" s="529"/>
      <c r="BP14" s="529"/>
      <c r="BQ14" s="529"/>
      <c r="BR14" s="529"/>
      <c r="BS14" s="529"/>
      <c r="BT14" s="529"/>
      <c r="BU14" s="529"/>
      <c r="BV14" s="529"/>
    </row>
    <row r="15" spans="1:74" ht="14.75" hidden="1" customHeight="1" x14ac:dyDescent="0.2">
      <c r="A15" s="143" t="s">
        <v>288</v>
      </c>
      <c r="B15" s="223">
        <f t="shared" si="2"/>
        <v>13</v>
      </c>
      <c r="C15" s="296" t="s">
        <v>446</v>
      </c>
      <c r="D15" s="224" t="s">
        <v>426</v>
      </c>
      <c r="E15" s="224" t="s">
        <v>703</v>
      </c>
      <c r="F15" s="224" t="s">
        <v>703</v>
      </c>
      <c r="G15" s="224"/>
      <c r="H15" s="224" t="s">
        <v>894</v>
      </c>
      <c r="I15" s="224" t="s">
        <v>781</v>
      </c>
      <c r="J15" s="224" t="s">
        <v>778</v>
      </c>
      <c r="K15" s="224" t="s">
        <v>779</v>
      </c>
      <c r="L15" s="297">
        <v>317.002993711854</v>
      </c>
      <c r="M15" s="297"/>
      <c r="N15" s="298" t="s">
        <v>447</v>
      </c>
      <c r="O15" s="298" t="s">
        <v>448</v>
      </c>
      <c r="P15" s="299"/>
      <c r="Q15" s="353" t="s">
        <v>449</v>
      </c>
      <c r="R15" s="298" t="s">
        <v>450</v>
      </c>
      <c r="S15" s="298" t="s">
        <v>451</v>
      </c>
      <c r="T15" s="298" t="s">
        <v>450</v>
      </c>
      <c r="U15" s="298" t="s">
        <v>297</v>
      </c>
      <c r="V15" s="298" t="s">
        <v>298</v>
      </c>
      <c r="W15" s="298" t="s">
        <v>452</v>
      </c>
      <c r="X15" s="298" t="s">
        <v>453</v>
      </c>
      <c r="Y15" s="298" t="s">
        <v>301</v>
      </c>
      <c r="Z15" s="298" t="s">
        <v>280</v>
      </c>
      <c r="AA15" s="298" t="s">
        <v>302</v>
      </c>
      <c r="AB15" s="298" t="s">
        <v>303</v>
      </c>
      <c r="AC15" s="300" t="s">
        <v>454</v>
      </c>
      <c r="AD15" s="301" t="s">
        <v>305</v>
      </c>
      <c r="AE15" s="298" t="s">
        <v>306</v>
      </c>
      <c r="AF15" s="298" t="s">
        <v>283</v>
      </c>
      <c r="AG15" s="225"/>
      <c r="AH15" s="225">
        <v>44942</v>
      </c>
      <c r="AI15" s="225"/>
      <c r="AJ15" s="225"/>
      <c r="AK15" s="302" t="s">
        <v>284</v>
      </c>
      <c r="AL15" s="225" t="s">
        <v>285</v>
      </c>
      <c r="AM15" s="225">
        <v>45316</v>
      </c>
      <c r="AN15" s="302" t="s">
        <v>286</v>
      </c>
      <c r="AO15" s="332">
        <v>45434</v>
      </c>
      <c r="AP15" s="332" t="s">
        <v>455</v>
      </c>
      <c r="AQ15" s="303"/>
      <c r="AR15" s="332"/>
      <c r="AS15" s="303" t="s">
        <v>288</v>
      </c>
      <c r="AT15" s="303" t="s">
        <v>288</v>
      </c>
      <c r="AU15" s="303"/>
      <c r="AV15" s="303" t="s">
        <v>288</v>
      </c>
      <c r="AW15" s="303"/>
      <c r="AX15" s="304"/>
      <c r="AY15" s="305" t="s">
        <v>325</v>
      </c>
      <c r="BB15" s="224">
        <v>18</v>
      </c>
      <c r="BC15" s="224"/>
      <c r="BD15" s="224"/>
      <c r="BE15" s="306"/>
      <c r="BG15" s="147"/>
      <c r="BH15" s="333">
        <f t="shared" si="0"/>
        <v>0</v>
      </c>
      <c r="BI15" s="334"/>
      <c r="BJ15" s="334"/>
      <c r="BK15" s="335">
        <v>1</v>
      </c>
      <c r="BL15" s="336">
        <f t="shared" si="1"/>
        <v>0</v>
      </c>
      <c r="BM15" s="334"/>
      <c r="BN15" s="337"/>
      <c r="BO15" s="529"/>
      <c r="BP15" s="529"/>
      <c r="BQ15" s="529"/>
      <c r="BR15" s="529"/>
      <c r="BS15" s="529"/>
      <c r="BT15" s="529"/>
      <c r="BU15" s="529"/>
      <c r="BV15" s="529"/>
    </row>
    <row r="16" spans="1:74" ht="14.75" hidden="1" customHeight="1" x14ac:dyDescent="0.2">
      <c r="B16" s="187">
        <f t="shared" si="2"/>
        <v>14</v>
      </c>
      <c r="C16" s="338" t="s">
        <v>456</v>
      </c>
      <c r="D16" s="169" t="s">
        <v>426</v>
      </c>
      <c r="E16" s="169" t="s">
        <v>703</v>
      </c>
      <c r="F16" s="169" t="s">
        <v>703</v>
      </c>
      <c r="G16" s="169"/>
      <c r="H16" s="169" t="s">
        <v>895</v>
      </c>
      <c r="I16" s="169" t="s">
        <v>775</v>
      </c>
      <c r="J16" s="169" t="s">
        <v>776</v>
      </c>
      <c r="K16" s="169" t="s">
        <v>403</v>
      </c>
      <c r="L16" s="315">
        <v>218</v>
      </c>
      <c r="M16" s="315"/>
      <c r="N16" s="316" t="s">
        <v>457</v>
      </c>
      <c r="O16" s="316" t="s">
        <v>458</v>
      </c>
      <c r="P16" s="352"/>
      <c r="Q16" s="316" t="s">
        <v>459</v>
      </c>
      <c r="R16" s="316" t="s">
        <v>460</v>
      </c>
      <c r="S16" s="316" t="s">
        <v>461</v>
      </c>
      <c r="T16" s="316" t="s">
        <v>460</v>
      </c>
      <c r="U16" s="316" t="s">
        <v>462</v>
      </c>
      <c r="V16" s="316" t="s">
        <v>463</v>
      </c>
      <c r="W16" s="316" t="s">
        <v>337</v>
      </c>
      <c r="X16" s="316" t="s">
        <v>464</v>
      </c>
      <c r="Y16" s="316" t="s">
        <v>339</v>
      </c>
      <c r="Z16" s="316" t="s">
        <v>340</v>
      </c>
      <c r="AA16" s="316" t="s">
        <v>302</v>
      </c>
      <c r="AB16" s="316" t="s">
        <v>303</v>
      </c>
      <c r="AC16" s="318" t="s">
        <v>465</v>
      </c>
      <c r="AD16" s="319" t="s">
        <v>305</v>
      </c>
      <c r="AE16" s="316" t="s">
        <v>342</v>
      </c>
      <c r="AF16" s="316" t="s">
        <v>283</v>
      </c>
      <c r="AG16" s="170"/>
      <c r="AH16" s="170">
        <v>45194</v>
      </c>
      <c r="AI16" s="170"/>
      <c r="AJ16" s="170"/>
      <c r="AK16" s="320" t="s">
        <v>284</v>
      </c>
      <c r="AL16" s="170" t="s">
        <v>285</v>
      </c>
      <c r="AM16" s="170">
        <v>45195</v>
      </c>
      <c r="AN16" s="320" t="s">
        <v>286</v>
      </c>
      <c r="AO16" s="322">
        <v>45436</v>
      </c>
      <c r="AP16" s="322" t="s">
        <v>466</v>
      </c>
      <c r="AQ16" s="323"/>
      <c r="AR16" s="322"/>
      <c r="AS16" s="323" t="s">
        <v>288</v>
      </c>
      <c r="AT16" s="323"/>
      <c r="AU16" s="323"/>
      <c r="AV16" s="323" t="s">
        <v>288</v>
      </c>
      <c r="AW16" s="323"/>
      <c r="AX16" s="324"/>
      <c r="AY16" s="290" t="s">
        <v>325</v>
      </c>
      <c r="BB16" s="169">
        <v>18</v>
      </c>
      <c r="BC16" s="169"/>
      <c r="BD16" s="169"/>
      <c r="BE16" s="325"/>
      <c r="BG16" s="147"/>
      <c r="BH16" s="292">
        <f t="shared" si="0"/>
        <v>0</v>
      </c>
      <c r="BK16" s="293">
        <v>1</v>
      </c>
      <c r="BL16" s="294">
        <f t="shared" si="1"/>
        <v>0</v>
      </c>
      <c r="BN16" s="295"/>
      <c r="BO16" s="529"/>
      <c r="BP16" s="529"/>
      <c r="BQ16" s="529"/>
      <c r="BR16" s="529"/>
      <c r="BS16" s="529"/>
      <c r="BT16" s="529"/>
      <c r="BU16" s="529"/>
      <c r="BV16" s="529"/>
    </row>
    <row r="17" spans="1:75" ht="14.75" hidden="1" customHeight="1" x14ac:dyDescent="0.2">
      <c r="A17" s="143" t="s">
        <v>288</v>
      </c>
      <c r="B17" s="223">
        <f t="shared" si="2"/>
        <v>15</v>
      </c>
      <c r="C17" s="224" t="s">
        <v>467</v>
      </c>
      <c r="D17" s="224" t="s">
        <v>426</v>
      </c>
      <c r="E17" s="224" t="s">
        <v>703</v>
      </c>
      <c r="F17" s="224" t="s">
        <v>703</v>
      </c>
      <c r="G17" s="224"/>
      <c r="H17" s="224" t="s">
        <v>896</v>
      </c>
      <c r="I17" s="224" t="s">
        <v>781</v>
      </c>
      <c r="J17" s="224" t="s">
        <v>778</v>
      </c>
      <c r="K17" s="224" t="s">
        <v>779</v>
      </c>
      <c r="L17" s="297">
        <v>317.002993711854</v>
      </c>
      <c r="M17" s="297"/>
      <c r="N17" s="298" t="s">
        <v>468</v>
      </c>
      <c r="O17" s="298" t="s">
        <v>469</v>
      </c>
      <c r="P17" s="356" t="s">
        <v>470</v>
      </c>
      <c r="Q17" s="298" t="s">
        <v>471</v>
      </c>
      <c r="R17" s="298" t="s">
        <v>472</v>
      </c>
      <c r="S17" s="298" t="s">
        <v>473</v>
      </c>
      <c r="T17" s="298" t="s">
        <v>472</v>
      </c>
      <c r="U17" s="298" t="s">
        <v>335</v>
      </c>
      <c r="V17" s="298" t="s">
        <v>336</v>
      </c>
      <c r="W17" s="298" t="s">
        <v>337</v>
      </c>
      <c r="X17" s="298" t="s">
        <v>474</v>
      </c>
      <c r="Y17" s="298" t="s">
        <v>339</v>
      </c>
      <c r="Z17" s="298" t="s">
        <v>340</v>
      </c>
      <c r="AA17" s="298" t="s">
        <v>302</v>
      </c>
      <c r="AB17" s="298" t="s">
        <v>303</v>
      </c>
      <c r="AC17" s="300" t="s">
        <v>475</v>
      </c>
      <c r="AD17" s="301" t="s">
        <v>305</v>
      </c>
      <c r="AE17" s="298" t="s">
        <v>342</v>
      </c>
      <c r="AF17" s="298" t="s">
        <v>283</v>
      </c>
      <c r="AG17" s="225"/>
      <c r="AH17" s="225">
        <v>45260</v>
      </c>
      <c r="AI17" s="225"/>
      <c r="AJ17" s="225"/>
      <c r="AK17" s="302" t="s">
        <v>284</v>
      </c>
      <c r="AL17" s="225" t="s">
        <v>285</v>
      </c>
      <c r="AM17" s="225">
        <v>45287</v>
      </c>
      <c r="AN17" s="302" t="s">
        <v>286</v>
      </c>
      <c r="AO17" s="332">
        <v>45434</v>
      </c>
      <c r="AP17" s="332" t="s">
        <v>476</v>
      </c>
      <c r="AQ17" s="303"/>
      <c r="AR17" s="332"/>
      <c r="AS17" s="303" t="s">
        <v>288</v>
      </c>
      <c r="AT17" s="303"/>
      <c r="AU17" s="303"/>
      <c r="AV17" s="303" t="s">
        <v>288</v>
      </c>
      <c r="AW17" s="303"/>
      <c r="AX17" s="304"/>
      <c r="AY17" s="305"/>
      <c r="BB17" s="224">
        <v>18</v>
      </c>
      <c r="BC17" s="224"/>
      <c r="BD17" s="224"/>
      <c r="BE17" s="306"/>
      <c r="BG17" s="147"/>
      <c r="BH17" s="307">
        <f t="shared" si="0"/>
        <v>0</v>
      </c>
      <c r="BI17" s="308"/>
      <c r="BJ17" s="308"/>
      <c r="BK17" s="309">
        <v>1</v>
      </c>
      <c r="BL17" s="310">
        <f t="shared" si="1"/>
        <v>0</v>
      </c>
      <c r="BM17" s="308"/>
      <c r="BN17" s="311"/>
      <c r="BO17" s="529">
        <f>SUM(BL13:BL17)</f>
        <v>0</v>
      </c>
      <c r="BP17" s="529">
        <f>BO17*BP1</f>
        <v>0</v>
      </c>
      <c r="BQ17" s="529">
        <f>BP17*BQ1</f>
        <v>0</v>
      </c>
      <c r="BR17" s="529"/>
      <c r="BS17" s="529"/>
      <c r="BT17" s="529"/>
      <c r="BU17" s="529"/>
      <c r="BV17" s="529"/>
    </row>
    <row r="18" spans="1:75" ht="14.75" hidden="1" customHeight="1" x14ac:dyDescent="0.2">
      <c r="A18" s="143" t="s">
        <v>288</v>
      </c>
      <c r="B18" s="187">
        <f t="shared" si="2"/>
        <v>16</v>
      </c>
      <c r="C18" s="169" t="s">
        <v>477</v>
      </c>
      <c r="D18" s="169" t="s">
        <v>415</v>
      </c>
      <c r="E18" s="169" t="s">
        <v>44</v>
      </c>
      <c r="F18" s="169" t="s">
        <v>711</v>
      </c>
      <c r="G18" s="169"/>
      <c r="H18" s="169" t="s">
        <v>897</v>
      </c>
      <c r="I18" s="169" t="s">
        <v>782</v>
      </c>
      <c r="J18" s="169" t="s">
        <v>776</v>
      </c>
      <c r="K18" s="169" t="s">
        <v>403</v>
      </c>
      <c r="L18" s="315">
        <v>338</v>
      </c>
      <c r="M18" s="315">
        <v>528.125</v>
      </c>
      <c r="N18" s="316" t="s">
        <v>478</v>
      </c>
      <c r="O18" s="316" t="s">
        <v>479</v>
      </c>
      <c r="P18" s="339" t="s">
        <v>480</v>
      </c>
      <c r="Q18" s="316" t="s">
        <v>481</v>
      </c>
      <c r="R18" s="316" t="s">
        <v>482</v>
      </c>
      <c r="S18" s="316" t="s">
        <v>483</v>
      </c>
      <c r="T18" s="316" t="s">
        <v>482</v>
      </c>
      <c r="U18" s="316" t="s">
        <v>353</v>
      </c>
      <c r="V18" s="316" t="s">
        <v>484</v>
      </c>
      <c r="W18" s="316" t="s">
        <v>337</v>
      </c>
      <c r="X18" s="316" t="s">
        <v>485</v>
      </c>
      <c r="Y18" s="316" t="s">
        <v>301</v>
      </c>
      <c r="Z18" s="316" t="s">
        <v>280</v>
      </c>
      <c r="AA18" s="316" t="s">
        <v>302</v>
      </c>
      <c r="AB18" s="316" t="s">
        <v>303</v>
      </c>
      <c r="AC18" s="318" t="s">
        <v>486</v>
      </c>
      <c r="AD18" s="319" t="s">
        <v>305</v>
      </c>
      <c r="AE18" s="316" t="s">
        <v>306</v>
      </c>
      <c r="AF18" s="316" t="s">
        <v>283</v>
      </c>
      <c r="AG18" s="170"/>
      <c r="AH18" s="170">
        <v>45293</v>
      </c>
      <c r="AI18" s="170"/>
      <c r="AJ18" s="170"/>
      <c r="AK18" s="320" t="s">
        <v>284</v>
      </c>
      <c r="AL18" s="170" t="s">
        <v>285</v>
      </c>
      <c r="AM18" s="170">
        <v>45295</v>
      </c>
      <c r="AN18" s="320" t="s">
        <v>286</v>
      </c>
      <c r="AO18" s="322">
        <v>45442</v>
      </c>
      <c r="AP18" s="322" t="s">
        <v>487</v>
      </c>
      <c r="AQ18" s="323">
        <v>46084</v>
      </c>
      <c r="AR18" s="322"/>
      <c r="AS18" s="323" t="s">
        <v>288</v>
      </c>
      <c r="AT18" s="323"/>
      <c r="AU18" s="323"/>
      <c r="AV18" s="323" t="s">
        <v>288</v>
      </c>
      <c r="AW18" s="323"/>
      <c r="AX18" s="324"/>
      <c r="AY18" s="290"/>
      <c r="BB18" s="169">
        <v>18</v>
      </c>
      <c r="BC18" s="169"/>
      <c r="BD18" s="169"/>
      <c r="BE18" s="325"/>
      <c r="BG18" s="147"/>
      <c r="BH18" s="326">
        <f t="shared" si="0"/>
        <v>528.125</v>
      </c>
      <c r="BI18" s="327"/>
      <c r="BJ18" s="327"/>
      <c r="BK18" s="328">
        <v>1</v>
      </c>
      <c r="BL18" s="329">
        <f t="shared" si="1"/>
        <v>528.125</v>
      </c>
      <c r="BM18" s="327"/>
      <c r="BN18" s="330"/>
      <c r="BO18" s="529"/>
      <c r="BP18" s="529"/>
      <c r="BQ18" s="529"/>
      <c r="BR18" s="529"/>
      <c r="BS18" s="529"/>
      <c r="BT18" s="529"/>
      <c r="BU18" s="529"/>
      <c r="BV18" s="529"/>
    </row>
    <row r="19" spans="1:75" ht="14.75" hidden="1" customHeight="1" x14ac:dyDescent="0.2">
      <c r="A19" s="505" t="s">
        <v>288</v>
      </c>
      <c r="B19" s="187">
        <f t="shared" si="2"/>
        <v>17</v>
      </c>
      <c r="C19" s="314" t="s">
        <v>488</v>
      </c>
      <c r="D19" s="169" t="s">
        <v>415</v>
      </c>
      <c r="E19" s="169"/>
      <c r="F19" s="169" t="s">
        <v>711</v>
      </c>
      <c r="G19" s="169"/>
      <c r="H19" s="169" t="s">
        <v>898</v>
      </c>
      <c r="I19" s="169" t="s">
        <v>769</v>
      </c>
      <c r="J19" s="169" t="s">
        <v>770</v>
      </c>
      <c r="K19" s="169" t="s">
        <v>270</v>
      </c>
      <c r="L19" s="315">
        <v>295</v>
      </c>
      <c r="M19" s="315">
        <v>460.9375</v>
      </c>
      <c r="N19" s="316" t="s">
        <v>489</v>
      </c>
      <c r="O19" s="316" t="s">
        <v>490</v>
      </c>
      <c r="P19" s="339" t="s">
        <v>491</v>
      </c>
      <c r="Q19" s="316" t="s">
        <v>492</v>
      </c>
      <c r="R19" s="316" t="s">
        <v>492</v>
      </c>
      <c r="S19" s="316" t="s">
        <v>493</v>
      </c>
      <c r="T19" s="316" t="s">
        <v>494</v>
      </c>
      <c r="U19" s="316" t="s">
        <v>297</v>
      </c>
      <c r="V19" s="316" t="s">
        <v>298</v>
      </c>
      <c r="W19" s="316" t="s">
        <v>495</v>
      </c>
      <c r="X19" s="316" t="s">
        <v>496</v>
      </c>
      <c r="Y19" s="316" t="s">
        <v>301</v>
      </c>
      <c r="Z19" s="316" t="s">
        <v>280</v>
      </c>
      <c r="AA19" s="316" t="s">
        <v>302</v>
      </c>
      <c r="AB19" s="316" t="s">
        <v>303</v>
      </c>
      <c r="AC19" s="318" t="s">
        <v>497</v>
      </c>
      <c r="AD19" s="319" t="s">
        <v>305</v>
      </c>
      <c r="AE19" s="316" t="s">
        <v>306</v>
      </c>
      <c r="AF19" s="316" t="s">
        <v>397</v>
      </c>
      <c r="AG19" s="170"/>
      <c r="AH19" s="170">
        <v>45040</v>
      </c>
      <c r="AI19" s="170"/>
      <c r="AJ19" s="170"/>
      <c r="AK19" s="320" t="s">
        <v>284</v>
      </c>
      <c r="AL19" s="170" t="s">
        <v>285</v>
      </c>
      <c r="AM19" s="170">
        <v>45187</v>
      </c>
      <c r="AN19" s="320" t="s">
        <v>308</v>
      </c>
      <c r="AO19" s="322">
        <v>45442</v>
      </c>
      <c r="AP19" s="322" t="s">
        <v>498</v>
      </c>
      <c r="AQ19" s="323">
        <v>46084</v>
      </c>
      <c r="AR19" s="357">
        <v>45460</v>
      </c>
      <c r="AS19" s="323" t="s">
        <v>288</v>
      </c>
      <c r="AT19" s="323"/>
      <c r="AU19" s="323" t="s">
        <v>288</v>
      </c>
      <c r="AV19" s="323" t="s">
        <v>288</v>
      </c>
      <c r="AW19" s="323"/>
      <c r="AX19" s="324"/>
      <c r="AY19" s="290"/>
      <c r="BB19" s="169">
        <v>18</v>
      </c>
      <c r="BC19" s="169"/>
      <c r="BD19" s="169"/>
      <c r="BE19" s="325"/>
      <c r="BG19" s="147"/>
      <c r="BH19" s="292">
        <f t="shared" si="0"/>
        <v>460.9375</v>
      </c>
      <c r="BI19" s="358"/>
      <c r="BK19" s="293">
        <v>1</v>
      </c>
      <c r="BL19" s="294">
        <f t="shared" si="1"/>
        <v>460.9375</v>
      </c>
      <c r="BN19" s="295"/>
      <c r="BO19" s="529"/>
      <c r="BP19" s="529"/>
      <c r="BQ19" s="529"/>
      <c r="BR19" s="529"/>
      <c r="BS19" s="529"/>
      <c r="BT19" s="529"/>
      <c r="BU19" s="529"/>
      <c r="BV19" s="529"/>
    </row>
    <row r="20" spans="1:75" ht="14.75" hidden="1" customHeight="1" x14ac:dyDescent="0.2">
      <c r="A20" s="143" t="s">
        <v>288</v>
      </c>
      <c r="B20" s="223">
        <f t="shared" si="2"/>
        <v>18</v>
      </c>
      <c r="C20" s="296" t="s">
        <v>500</v>
      </c>
      <c r="D20" s="224" t="s">
        <v>415</v>
      </c>
      <c r="E20" s="224" t="s">
        <v>501</v>
      </c>
      <c r="F20" s="224" t="s">
        <v>711</v>
      </c>
      <c r="G20" s="224"/>
      <c r="H20" s="224" t="s">
        <v>899</v>
      </c>
      <c r="I20" s="224" t="s">
        <v>775</v>
      </c>
      <c r="J20" s="224" t="s">
        <v>776</v>
      </c>
      <c r="K20" s="224" t="s">
        <v>403</v>
      </c>
      <c r="L20" s="297">
        <v>218</v>
      </c>
      <c r="M20" s="297">
        <v>340.625</v>
      </c>
      <c r="N20" s="298" t="s">
        <v>502</v>
      </c>
      <c r="O20" s="298" t="s">
        <v>503</v>
      </c>
      <c r="P20" s="299"/>
      <c r="Q20" s="298" t="s">
        <v>504</v>
      </c>
      <c r="R20" s="298" t="s">
        <v>505</v>
      </c>
      <c r="S20" s="298" t="s">
        <v>506</v>
      </c>
      <c r="T20" s="298" t="s">
        <v>505</v>
      </c>
      <c r="U20" s="298" t="s">
        <v>297</v>
      </c>
      <c r="V20" s="298" t="s">
        <v>298</v>
      </c>
      <c r="W20" s="298" t="s">
        <v>507</v>
      </c>
      <c r="X20" s="298" t="s">
        <v>508</v>
      </c>
      <c r="Y20" s="298" t="s">
        <v>301</v>
      </c>
      <c r="Z20" s="298" t="s">
        <v>280</v>
      </c>
      <c r="AA20" s="298" t="s">
        <v>302</v>
      </c>
      <c r="AB20" s="298" t="s">
        <v>509</v>
      </c>
      <c r="AC20" s="300" t="s">
        <v>510</v>
      </c>
      <c r="AD20" s="301" t="s">
        <v>511</v>
      </c>
      <c r="AE20" s="298" t="s">
        <v>512</v>
      </c>
      <c r="AF20" s="298" t="s">
        <v>283</v>
      </c>
      <c r="AG20" s="225"/>
      <c r="AH20" s="225">
        <v>44949</v>
      </c>
      <c r="AI20" s="225"/>
      <c r="AJ20" s="225"/>
      <c r="AK20" s="302" t="s">
        <v>284</v>
      </c>
      <c r="AL20" s="225" t="s">
        <v>285</v>
      </c>
      <c r="AM20" s="225">
        <v>45084</v>
      </c>
      <c r="AN20" s="302" t="s">
        <v>286</v>
      </c>
      <c r="AO20" s="332">
        <v>45443</v>
      </c>
      <c r="AP20" s="332" t="s">
        <v>513</v>
      </c>
      <c r="AQ20" s="303">
        <v>46084</v>
      </c>
      <c r="AR20" s="332"/>
      <c r="AS20" s="303" t="s">
        <v>288</v>
      </c>
      <c r="AT20" s="303"/>
      <c r="AU20" s="303"/>
      <c r="AV20" s="303" t="s">
        <v>288</v>
      </c>
      <c r="AW20" s="303"/>
      <c r="AX20" s="304"/>
      <c r="AY20" s="305"/>
      <c r="BB20" s="224">
        <v>18</v>
      </c>
      <c r="BC20" s="224"/>
      <c r="BD20" s="224"/>
      <c r="BE20" s="306"/>
      <c r="BG20" s="147"/>
      <c r="BH20" s="333">
        <f t="shared" si="0"/>
        <v>340.625</v>
      </c>
      <c r="BI20" s="334"/>
      <c r="BJ20" s="334"/>
      <c r="BK20" s="335">
        <v>1</v>
      </c>
      <c r="BL20" s="336">
        <f t="shared" si="1"/>
        <v>340.625</v>
      </c>
      <c r="BM20" s="334"/>
      <c r="BN20" s="337"/>
      <c r="BO20" s="529"/>
      <c r="BP20" s="529"/>
      <c r="BQ20" s="529"/>
      <c r="BR20" s="529"/>
      <c r="BS20" s="529"/>
      <c r="BT20" s="529"/>
      <c r="BU20" s="529"/>
      <c r="BV20" s="529"/>
    </row>
    <row r="21" spans="1:75" ht="14.75" hidden="1" customHeight="1" x14ac:dyDescent="0.2">
      <c r="A21" s="143" t="s">
        <v>288</v>
      </c>
      <c r="B21" s="187">
        <f t="shared" si="2"/>
        <v>19</v>
      </c>
      <c r="C21" s="338" t="s">
        <v>514</v>
      </c>
      <c r="D21" s="169" t="s">
        <v>415</v>
      </c>
      <c r="E21" s="169" t="s">
        <v>515</v>
      </c>
      <c r="F21" s="169" t="s">
        <v>711</v>
      </c>
      <c r="G21" s="169"/>
      <c r="H21" s="169" t="s">
        <v>900</v>
      </c>
      <c r="I21" s="169" t="s">
        <v>783</v>
      </c>
      <c r="J21" s="169" t="s">
        <v>776</v>
      </c>
      <c r="K21" s="169" t="s">
        <v>403</v>
      </c>
      <c r="L21" s="315">
        <v>248</v>
      </c>
      <c r="M21" s="315">
        <v>387.5</v>
      </c>
      <c r="N21" s="316" t="s">
        <v>516</v>
      </c>
      <c r="O21" s="316" t="s">
        <v>517</v>
      </c>
      <c r="P21" s="352"/>
      <c r="Q21" s="316" t="s">
        <v>518</v>
      </c>
      <c r="R21" s="316" t="s">
        <v>519</v>
      </c>
      <c r="S21" s="316" t="s">
        <v>520</v>
      </c>
      <c r="T21" s="316" t="s">
        <v>519</v>
      </c>
      <c r="U21" s="316" t="s">
        <v>297</v>
      </c>
      <c r="V21" s="316" t="s">
        <v>521</v>
      </c>
      <c r="W21" s="316" t="s">
        <v>337</v>
      </c>
      <c r="X21" s="316" t="s">
        <v>522</v>
      </c>
      <c r="Y21" s="316" t="s">
        <v>339</v>
      </c>
      <c r="Z21" s="316" t="s">
        <v>340</v>
      </c>
      <c r="AA21" s="316" t="s">
        <v>302</v>
      </c>
      <c r="AB21" s="316" t="s">
        <v>303</v>
      </c>
      <c r="AC21" s="318" t="s">
        <v>523</v>
      </c>
      <c r="AD21" s="319" t="s">
        <v>305</v>
      </c>
      <c r="AE21" s="316" t="s">
        <v>342</v>
      </c>
      <c r="AF21" s="316" t="s">
        <v>524</v>
      </c>
      <c r="AG21" s="170"/>
      <c r="AH21" s="170">
        <v>45078</v>
      </c>
      <c r="AI21" s="170"/>
      <c r="AJ21" s="170"/>
      <c r="AK21" s="320" t="s">
        <v>284</v>
      </c>
      <c r="AL21" s="170" t="s">
        <v>285</v>
      </c>
      <c r="AM21" s="170">
        <v>45089</v>
      </c>
      <c r="AN21" s="320" t="s">
        <v>286</v>
      </c>
      <c r="AO21" s="322">
        <v>45443</v>
      </c>
      <c r="AP21" s="322" t="s">
        <v>525</v>
      </c>
      <c r="AQ21" s="323">
        <v>46084</v>
      </c>
      <c r="AR21" s="322"/>
      <c r="AS21" s="323" t="s">
        <v>288</v>
      </c>
      <c r="AT21" s="323"/>
      <c r="AU21" s="323"/>
      <c r="AV21" s="323" t="s">
        <v>288</v>
      </c>
      <c r="AW21" s="323"/>
      <c r="AX21" s="324"/>
      <c r="AY21" s="290"/>
      <c r="BB21" s="169">
        <v>18</v>
      </c>
      <c r="BC21" s="169"/>
      <c r="BD21" s="169"/>
      <c r="BE21" s="325"/>
      <c r="BG21" s="147"/>
      <c r="BH21" s="341">
        <f t="shared" si="0"/>
        <v>387.5</v>
      </c>
      <c r="BI21" s="342"/>
      <c r="BJ21" s="342"/>
      <c r="BK21" s="343">
        <v>1</v>
      </c>
      <c r="BL21" s="344">
        <f t="shared" si="1"/>
        <v>387.5</v>
      </c>
      <c r="BM21" s="342"/>
      <c r="BN21" s="345"/>
      <c r="BO21" s="529">
        <f>SUM(BL18:BL21)</f>
        <v>1717.1875</v>
      </c>
      <c r="BP21" s="529">
        <f>BO21*BP1</f>
        <v>36060.9375</v>
      </c>
      <c r="BQ21" s="529">
        <f>BP21*BQ1</f>
        <v>144243.75</v>
      </c>
      <c r="BR21" s="529">
        <f>SUMIFS(MEV!O:O,MEV!C:C,"ILP",MEV!L:L,"approvato")+SUMIFS(MEV!O:O,MEV!C:C,"WIPI",MEV!L:L,"approvato")+SUMIFS(MEV!O:O,MEV!C:C,"IPER_IPERSUITE",MEV!L:L,"approvato")</f>
        <v>351253.53</v>
      </c>
      <c r="BS21" s="529">
        <f>BR21-BQ21</f>
        <v>207009.78000000003</v>
      </c>
      <c r="BT21" s="529">
        <f>BP21*BT1</f>
        <v>432731.25</v>
      </c>
      <c r="BU21" s="529"/>
      <c r="BV21" s="529"/>
    </row>
    <row r="22" spans="1:75" ht="14.75" hidden="1" customHeight="1" x14ac:dyDescent="0.2">
      <c r="A22" s="143" t="s">
        <v>288</v>
      </c>
      <c r="B22" s="223">
        <f t="shared" si="2"/>
        <v>20</v>
      </c>
      <c r="C22" s="296" t="s">
        <v>526</v>
      </c>
      <c r="D22" s="224" t="s">
        <v>45</v>
      </c>
      <c r="E22" s="224" t="s">
        <v>527</v>
      </c>
      <c r="F22" s="224" t="s">
        <v>528</v>
      </c>
      <c r="G22" s="224"/>
      <c r="H22" s="224" t="s">
        <v>901</v>
      </c>
      <c r="I22" s="224" t="s">
        <v>784</v>
      </c>
      <c r="J22" s="224" t="s">
        <v>770</v>
      </c>
      <c r="K22" s="224" t="s">
        <v>270</v>
      </c>
      <c r="L22" s="297">
        <v>220</v>
      </c>
      <c r="M22" s="297">
        <v>343.75</v>
      </c>
      <c r="N22" s="298" t="s">
        <v>529</v>
      </c>
      <c r="O22" s="298" t="s">
        <v>530</v>
      </c>
      <c r="P22" s="299"/>
      <c r="Q22" s="298" t="s">
        <v>531</v>
      </c>
      <c r="R22" s="298" t="s">
        <v>532</v>
      </c>
      <c r="S22" s="298" t="s">
        <v>533</v>
      </c>
      <c r="T22" s="298" t="s">
        <v>532</v>
      </c>
      <c r="U22" s="298" t="s">
        <v>534</v>
      </c>
      <c r="V22" s="298" t="s">
        <v>535</v>
      </c>
      <c r="W22" s="298" t="s">
        <v>536</v>
      </c>
      <c r="X22" s="298" t="s">
        <v>537</v>
      </c>
      <c r="Y22" s="298" t="s">
        <v>301</v>
      </c>
      <c r="Z22" s="298" t="s">
        <v>280</v>
      </c>
      <c r="AA22" s="298" t="s">
        <v>302</v>
      </c>
      <c r="AB22" s="298" t="s">
        <v>303</v>
      </c>
      <c r="AC22" s="300" t="s">
        <v>538</v>
      </c>
      <c r="AD22" s="301" t="s">
        <v>371</v>
      </c>
      <c r="AE22" s="298" t="s">
        <v>372</v>
      </c>
      <c r="AF22" s="298" t="s">
        <v>283</v>
      </c>
      <c r="AG22" s="225"/>
      <c r="AH22" s="225">
        <v>44977</v>
      </c>
      <c r="AI22" s="225"/>
      <c r="AJ22" s="225"/>
      <c r="AK22" s="302" t="s">
        <v>284</v>
      </c>
      <c r="AL22" s="225" t="s">
        <v>285</v>
      </c>
      <c r="AM22" s="225">
        <v>45232</v>
      </c>
      <c r="AN22" s="302" t="s">
        <v>286</v>
      </c>
      <c r="AO22" s="332">
        <v>45441</v>
      </c>
      <c r="AP22" s="332" t="s">
        <v>539</v>
      </c>
      <c r="AQ22" s="303">
        <v>46085</v>
      </c>
      <c r="AR22" s="332"/>
      <c r="AS22" s="303" t="s">
        <v>288</v>
      </c>
      <c r="AT22" s="303"/>
      <c r="AU22" s="303"/>
      <c r="AV22" s="303" t="s">
        <v>288</v>
      </c>
      <c r="AW22" s="303"/>
      <c r="AX22" s="304"/>
      <c r="AY22" s="305" t="s">
        <v>325</v>
      </c>
      <c r="BB22" s="224">
        <v>15</v>
      </c>
      <c r="BC22" s="224"/>
      <c r="BD22" s="224"/>
      <c r="BE22" s="306"/>
      <c r="BG22" s="147"/>
      <c r="BH22" s="347">
        <f t="shared" si="0"/>
        <v>343.75</v>
      </c>
      <c r="BI22" s="348"/>
      <c r="BJ22" s="348"/>
      <c r="BK22" s="349">
        <v>1</v>
      </c>
      <c r="BL22" s="350">
        <f t="shared" si="1"/>
        <v>343.75</v>
      </c>
      <c r="BM22" s="348"/>
      <c r="BN22" s="351"/>
      <c r="BO22" s="529"/>
      <c r="BP22" s="529"/>
      <c r="BQ22" s="529"/>
      <c r="BR22" s="529"/>
      <c r="BS22" s="529"/>
      <c r="BT22" s="529"/>
      <c r="BU22" s="529"/>
      <c r="BV22" s="529"/>
    </row>
    <row r="23" spans="1:75" ht="14.75" hidden="1" customHeight="1" x14ac:dyDescent="0.2">
      <c r="A23" s="143" t="s">
        <v>288</v>
      </c>
      <c r="B23" s="187">
        <f t="shared" si="2"/>
        <v>21</v>
      </c>
      <c r="C23" s="314" t="s">
        <v>540</v>
      </c>
      <c r="D23" s="169" t="s">
        <v>45</v>
      </c>
      <c r="E23" s="169" t="s">
        <v>541</v>
      </c>
      <c r="F23" s="169" t="s">
        <v>542</v>
      </c>
      <c r="G23" s="169"/>
      <c r="H23" s="169" t="s">
        <v>902</v>
      </c>
      <c r="I23" s="169" t="s">
        <v>785</v>
      </c>
      <c r="J23" s="169" t="s">
        <v>786</v>
      </c>
      <c r="K23" s="169" t="s">
        <v>543</v>
      </c>
      <c r="L23" s="315">
        <v>214</v>
      </c>
      <c r="M23" s="315">
        <v>334.375</v>
      </c>
      <c r="N23" s="316" t="s">
        <v>544</v>
      </c>
      <c r="O23" s="316" t="s">
        <v>545</v>
      </c>
      <c r="P23" s="352"/>
      <c r="Q23" s="316" t="s">
        <v>546</v>
      </c>
      <c r="R23" s="316" t="s">
        <v>547</v>
      </c>
      <c r="S23" s="316" t="s">
        <v>548</v>
      </c>
      <c r="T23" s="316" t="s">
        <v>547</v>
      </c>
      <c r="U23" s="316" t="s">
        <v>549</v>
      </c>
      <c r="V23" s="316" t="s">
        <v>442</v>
      </c>
      <c r="W23" s="316" t="s">
        <v>337</v>
      </c>
      <c r="X23" s="316" t="s">
        <v>550</v>
      </c>
      <c r="Y23" s="316" t="s">
        <v>339</v>
      </c>
      <c r="Z23" s="316" t="s">
        <v>340</v>
      </c>
      <c r="AA23" s="316" t="s">
        <v>302</v>
      </c>
      <c r="AB23" s="316" t="s">
        <v>303</v>
      </c>
      <c r="AC23" s="318" t="s">
        <v>551</v>
      </c>
      <c r="AD23" s="319" t="s">
        <v>305</v>
      </c>
      <c r="AE23" s="316" t="s">
        <v>342</v>
      </c>
      <c r="AF23" s="316" t="s">
        <v>283</v>
      </c>
      <c r="AG23" s="170"/>
      <c r="AH23" s="170">
        <v>44977</v>
      </c>
      <c r="AI23" s="170"/>
      <c r="AJ23" s="170"/>
      <c r="AK23" s="320" t="s">
        <v>284</v>
      </c>
      <c r="AL23" s="170" t="s">
        <v>285</v>
      </c>
      <c r="AM23" s="170">
        <v>45051</v>
      </c>
      <c r="AN23" s="320" t="s">
        <v>286</v>
      </c>
      <c r="AO23" s="322">
        <v>45439</v>
      </c>
      <c r="AP23" s="322" t="s">
        <v>552</v>
      </c>
      <c r="AQ23" s="323">
        <v>46084</v>
      </c>
      <c r="AR23" s="322"/>
      <c r="AS23" s="323" t="s">
        <v>288</v>
      </c>
      <c r="AT23" s="323"/>
      <c r="AU23" s="323"/>
      <c r="AV23" s="323" t="s">
        <v>288</v>
      </c>
      <c r="AW23" s="323"/>
      <c r="AX23" s="324"/>
      <c r="AY23" s="290"/>
      <c r="BB23" s="169">
        <v>18</v>
      </c>
      <c r="BC23" s="169"/>
      <c r="BD23" s="169"/>
      <c r="BE23" s="325"/>
      <c r="BG23" s="147"/>
      <c r="BH23" s="292">
        <f t="shared" si="0"/>
        <v>334.375</v>
      </c>
      <c r="BK23" s="293">
        <v>1</v>
      </c>
      <c r="BL23" s="294">
        <f t="shared" si="1"/>
        <v>334.375</v>
      </c>
      <c r="BN23" s="295"/>
      <c r="BO23" s="529"/>
      <c r="BP23" s="529"/>
      <c r="BQ23" s="529"/>
      <c r="BR23" s="529"/>
      <c r="BS23" s="529"/>
      <c r="BT23" s="529"/>
      <c r="BU23" s="529"/>
      <c r="BV23" s="529"/>
    </row>
    <row r="24" spans="1:75" ht="14.75" hidden="1" customHeight="1" x14ac:dyDescent="0.2">
      <c r="B24" s="223">
        <f t="shared" si="2"/>
        <v>22</v>
      </c>
      <c r="C24" s="296" t="s">
        <v>553</v>
      </c>
      <c r="D24" s="224" t="s">
        <v>45</v>
      </c>
      <c r="E24" s="224" t="s">
        <v>554</v>
      </c>
      <c r="F24" s="224" t="s">
        <v>542</v>
      </c>
      <c r="G24" s="224"/>
      <c r="H24" s="224" t="s">
        <v>903</v>
      </c>
      <c r="I24" s="224" t="s">
        <v>785</v>
      </c>
      <c r="J24" s="224" t="s">
        <v>786</v>
      </c>
      <c r="K24" s="224" t="s">
        <v>543</v>
      </c>
      <c r="L24" s="297">
        <v>214</v>
      </c>
      <c r="M24" s="297">
        <v>334.375</v>
      </c>
      <c r="N24" s="298" t="s">
        <v>555</v>
      </c>
      <c r="O24" s="298" t="s">
        <v>556</v>
      </c>
      <c r="P24" s="299"/>
      <c r="Q24" s="298" t="s">
        <v>557</v>
      </c>
      <c r="R24" s="298" t="s">
        <v>558</v>
      </c>
      <c r="S24" s="298" t="s">
        <v>559</v>
      </c>
      <c r="T24" s="298" t="s">
        <v>560</v>
      </c>
      <c r="U24" s="298" t="s">
        <v>561</v>
      </c>
      <c r="V24" s="298" t="s">
        <v>562</v>
      </c>
      <c r="W24" s="298" t="s">
        <v>337</v>
      </c>
      <c r="X24" s="298" t="s">
        <v>563</v>
      </c>
      <c r="Y24" s="298" t="s">
        <v>339</v>
      </c>
      <c r="Z24" s="298" t="s">
        <v>340</v>
      </c>
      <c r="AA24" s="298" t="s">
        <v>302</v>
      </c>
      <c r="AB24" s="298" t="s">
        <v>509</v>
      </c>
      <c r="AC24" s="300" t="s">
        <v>564</v>
      </c>
      <c r="AD24" s="301" t="s">
        <v>565</v>
      </c>
      <c r="AE24" s="298" t="s">
        <v>566</v>
      </c>
      <c r="AF24" s="298" t="s">
        <v>283</v>
      </c>
      <c r="AG24" s="225"/>
      <c r="AH24" s="225">
        <v>44977</v>
      </c>
      <c r="AI24" s="225"/>
      <c r="AJ24" s="225"/>
      <c r="AK24" s="302" t="s">
        <v>284</v>
      </c>
      <c r="AL24" s="225" t="s">
        <v>285</v>
      </c>
      <c r="AM24" s="225">
        <v>45317</v>
      </c>
      <c r="AN24" s="302" t="s">
        <v>286</v>
      </c>
      <c r="AO24" s="332">
        <v>45439</v>
      </c>
      <c r="AP24" s="332" t="s">
        <v>567</v>
      </c>
      <c r="AQ24" s="303">
        <v>46084</v>
      </c>
      <c r="AR24" s="332"/>
      <c r="AS24" s="303" t="s">
        <v>288</v>
      </c>
      <c r="AT24" s="303"/>
      <c r="AU24" s="303"/>
      <c r="AV24" s="303" t="s">
        <v>288</v>
      </c>
      <c r="AW24" s="303"/>
      <c r="AX24" s="304"/>
      <c r="AY24" s="305" t="s">
        <v>325</v>
      </c>
      <c r="BB24" s="224">
        <v>18</v>
      </c>
      <c r="BC24" s="224"/>
      <c r="BD24" s="224"/>
      <c r="BE24" s="306"/>
      <c r="BG24" s="147"/>
      <c r="BH24" s="333">
        <f t="shared" si="0"/>
        <v>334.375</v>
      </c>
      <c r="BI24" s="334"/>
      <c r="BJ24" s="334"/>
      <c r="BK24" s="335">
        <v>1</v>
      </c>
      <c r="BL24" s="336">
        <f t="shared" si="1"/>
        <v>334.375</v>
      </c>
      <c r="BM24" s="334"/>
      <c r="BN24" s="337"/>
      <c r="BO24" s="529"/>
      <c r="BP24" s="529"/>
      <c r="BQ24" s="529"/>
      <c r="BR24" s="529"/>
      <c r="BS24" s="529"/>
      <c r="BT24" s="529"/>
      <c r="BU24" s="529"/>
      <c r="BV24" s="529"/>
    </row>
    <row r="25" spans="1:75" ht="14.75" hidden="1" customHeight="1" x14ac:dyDescent="0.2">
      <c r="A25" s="143" t="s">
        <v>288</v>
      </c>
      <c r="B25" s="187">
        <f t="shared" si="2"/>
        <v>23</v>
      </c>
      <c r="C25" s="314" t="s">
        <v>568</v>
      </c>
      <c r="D25" s="169" t="s">
        <v>45</v>
      </c>
      <c r="E25" s="169" t="s">
        <v>569</v>
      </c>
      <c r="F25" s="169" t="s">
        <v>711</v>
      </c>
      <c r="G25" s="169"/>
      <c r="H25" s="169" t="s">
        <v>904</v>
      </c>
      <c r="I25" s="169" t="s">
        <v>787</v>
      </c>
      <c r="J25" s="169" t="s">
        <v>786</v>
      </c>
      <c r="K25" s="169" t="s">
        <v>543</v>
      </c>
      <c r="L25" s="315">
        <v>241</v>
      </c>
      <c r="M25" s="315">
        <v>376.5625</v>
      </c>
      <c r="N25" s="316" t="s">
        <v>570</v>
      </c>
      <c r="O25" s="316" t="s">
        <v>571</v>
      </c>
      <c r="P25" s="352"/>
      <c r="Q25" s="316" t="s">
        <v>572</v>
      </c>
      <c r="R25" s="316" t="s">
        <v>573</v>
      </c>
      <c r="S25" s="316" t="s">
        <v>574</v>
      </c>
      <c r="T25" s="316" t="s">
        <v>573</v>
      </c>
      <c r="U25" s="316" t="s">
        <v>297</v>
      </c>
      <c r="V25" s="316" t="s">
        <v>521</v>
      </c>
      <c r="W25" s="316" t="s">
        <v>337</v>
      </c>
      <c r="X25" s="316" t="s">
        <v>410</v>
      </c>
      <c r="Y25" s="316" t="s">
        <v>339</v>
      </c>
      <c r="Z25" s="316" t="s">
        <v>340</v>
      </c>
      <c r="AA25" s="316" t="s">
        <v>302</v>
      </c>
      <c r="AB25" s="316" t="s">
        <v>303</v>
      </c>
      <c r="AC25" s="318" t="s">
        <v>396</v>
      </c>
      <c r="AD25" s="319" t="s">
        <v>305</v>
      </c>
      <c r="AE25" s="316" t="s">
        <v>342</v>
      </c>
      <c r="AF25" s="316" t="s">
        <v>283</v>
      </c>
      <c r="AG25" s="170"/>
      <c r="AH25" s="170">
        <v>44977</v>
      </c>
      <c r="AI25" s="170"/>
      <c r="AJ25" s="170"/>
      <c r="AK25" s="320" t="s">
        <v>284</v>
      </c>
      <c r="AL25" s="170" t="s">
        <v>285</v>
      </c>
      <c r="AM25" s="170">
        <v>45183</v>
      </c>
      <c r="AN25" s="320" t="s">
        <v>286</v>
      </c>
      <c r="AO25" s="322">
        <v>45440</v>
      </c>
      <c r="AP25" s="322" t="s">
        <v>575</v>
      </c>
      <c r="AQ25" s="323">
        <v>46084</v>
      </c>
      <c r="AR25" s="322"/>
      <c r="AS25" s="323" t="s">
        <v>288</v>
      </c>
      <c r="AT25" s="323"/>
      <c r="AU25" s="323"/>
      <c r="AV25" s="323" t="s">
        <v>288</v>
      </c>
      <c r="AW25" s="323"/>
      <c r="AX25" s="324"/>
      <c r="AY25" s="290" t="s">
        <v>325</v>
      </c>
      <c r="BB25" s="169">
        <v>18</v>
      </c>
      <c r="BC25" s="169"/>
      <c r="BD25" s="169"/>
      <c r="BE25" s="325"/>
      <c r="BG25" s="147"/>
      <c r="BH25" s="292">
        <f t="shared" si="0"/>
        <v>376.5625</v>
      </c>
      <c r="BK25" s="293">
        <v>1</v>
      </c>
      <c r="BL25" s="294">
        <f t="shared" si="1"/>
        <v>376.5625</v>
      </c>
      <c r="BN25" s="295"/>
      <c r="BO25" s="529"/>
      <c r="BP25" s="529"/>
      <c r="BQ25" s="529"/>
      <c r="BR25" s="529"/>
      <c r="BS25" s="529"/>
      <c r="BT25" s="529"/>
      <c r="BU25" s="529"/>
      <c r="BV25" s="529"/>
    </row>
    <row r="26" spans="1:75" ht="14.75" hidden="1" customHeight="1" x14ac:dyDescent="0.2">
      <c r="A26" s="505" t="s">
        <v>288</v>
      </c>
      <c r="B26" s="223">
        <f t="shared" si="2"/>
        <v>24</v>
      </c>
      <c r="C26" s="296" t="s">
        <v>576</v>
      </c>
      <c r="D26" s="224" t="s">
        <v>45</v>
      </c>
      <c r="E26" s="224" t="s">
        <v>704</v>
      </c>
      <c r="F26" s="224" t="s">
        <v>30</v>
      </c>
      <c r="G26" s="224"/>
      <c r="H26" s="224" t="s">
        <v>905</v>
      </c>
      <c r="I26" s="224" t="s">
        <v>787</v>
      </c>
      <c r="J26" s="224" t="s">
        <v>786</v>
      </c>
      <c r="K26" s="224" t="s">
        <v>543</v>
      </c>
      <c r="L26" s="297">
        <v>241</v>
      </c>
      <c r="M26" s="297">
        <v>376.5625</v>
      </c>
      <c r="N26" s="298" t="s">
        <v>577</v>
      </c>
      <c r="O26" s="298" t="s">
        <v>578</v>
      </c>
      <c r="P26" s="299"/>
      <c r="Q26" s="298" t="s">
        <v>579</v>
      </c>
      <c r="R26" s="298" t="s">
        <v>580</v>
      </c>
      <c r="S26" s="298" t="s">
        <v>581</v>
      </c>
      <c r="T26" s="298" t="s">
        <v>580</v>
      </c>
      <c r="U26" s="298" t="s">
        <v>549</v>
      </c>
      <c r="V26" s="298" t="s">
        <v>442</v>
      </c>
      <c r="W26" s="298" t="s">
        <v>582</v>
      </c>
      <c r="X26" s="298" t="s">
        <v>583</v>
      </c>
      <c r="Y26" s="298" t="s">
        <v>339</v>
      </c>
      <c r="Z26" s="298" t="s">
        <v>340</v>
      </c>
      <c r="AA26" s="298" t="s">
        <v>302</v>
      </c>
      <c r="AB26" s="298" t="s">
        <v>303</v>
      </c>
      <c r="AC26" s="300" t="s">
        <v>322</v>
      </c>
      <c r="AD26" s="301" t="s">
        <v>305</v>
      </c>
      <c r="AE26" s="298" t="s">
        <v>342</v>
      </c>
      <c r="AF26" s="298" t="s">
        <v>283</v>
      </c>
      <c r="AG26" s="225"/>
      <c r="AH26" s="225">
        <v>44977</v>
      </c>
      <c r="AI26" s="225"/>
      <c r="AJ26" s="225"/>
      <c r="AK26" s="302" t="s">
        <v>284</v>
      </c>
      <c r="AL26" s="225" t="s">
        <v>285</v>
      </c>
      <c r="AM26" s="225">
        <v>45316</v>
      </c>
      <c r="AN26" s="302" t="s">
        <v>286</v>
      </c>
      <c r="AO26" s="332">
        <v>45440</v>
      </c>
      <c r="AP26" s="332" t="s">
        <v>584</v>
      </c>
      <c r="AQ26" s="303">
        <v>46084</v>
      </c>
      <c r="AR26" s="332"/>
      <c r="AS26" s="303" t="s">
        <v>288</v>
      </c>
      <c r="AT26" s="303"/>
      <c r="AU26" s="303"/>
      <c r="AV26" s="303" t="s">
        <v>288</v>
      </c>
      <c r="AW26" s="303"/>
      <c r="AX26" s="304"/>
      <c r="AY26" s="305" t="s">
        <v>325</v>
      </c>
      <c r="BB26" s="224">
        <v>18</v>
      </c>
      <c r="BC26" s="224"/>
      <c r="BD26" s="224"/>
      <c r="BE26" s="306"/>
      <c r="BG26" s="147"/>
      <c r="BH26" s="333">
        <f t="shared" si="0"/>
        <v>376.5625</v>
      </c>
      <c r="BI26" s="334"/>
      <c r="BJ26" s="334"/>
      <c r="BK26" s="335">
        <v>1</v>
      </c>
      <c r="BL26" s="336">
        <f t="shared" si="1"/>
        <v>376.5625</v>
      </c>
      <c r="BM26" s="334"/>
      <c r="BN26" s="337"/>
      <c r="BO26" s="529"/>
      <c r="BP26" s="529"/>
      <c r="BQ26" s="529"/>
      <c r="BR26" s="529"/>
      <c r="BS26" s="529"/>
      <c r="BT26" s="529"/>
      <c r="BU26" s="529"/>
      <c r="BV26" s="529"/>
    </row>
    <row r="27" spans="1:75" ht="14.75" hidden="1" customHeight="1" x14ac:dyDescent="0.2">
      <c r="B27" s="187">
        <f t="shared" si="2"/>
        <v>25</v>
      </c>
      <c r="C27" s="314" t="s">
        <v>585</v>
      </c>
      <c r="D27" s="169" t="s">
        <v>45</v>
      </c>
      <c r="E27" s="169"/>
      <c r="F27" s="169" t="s">
        <v>542</v>
      </c>
      <c r="G27" s="169"/>
      <c r="H27" s="169"/>
      <c r="I27" s="169"/>
      <c r="J27" s="169"/>
      <c r="K27" s="169"/>
      <c r="L27" s="315"/>
      <c r="M27" s="315">
        <v>275</v>
      </c>
      <c r="N27" s="316"/>
      <c r="O27" s="316"/>
      <c r="P27" s="352"/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316"/>
      <c r="AB27" s="316"/>
      <c r="AC27" s="318"/>
      <c r="AD27" s="316"/>
      <c r="AE27" s="316"/>
      <c r="AF27" s="316"/>
      <c r="AG27" s="170"/>
      <c r="AH27" s="170"/>
      <c r="AI27" s="170"/>
      <c r="AJ27" s="170"/>
      <c r="AK27" s="320" t="s">
        <v>284</v>
      </c>
      <c r="AL27" s="170" t="s">
        <v>285</v>
      </c>
      <c r="AM27" s="170"/>
      <c r="AN27" s="320"/>
      <c r="AO27" s="320"/>
      <c r="AP27" s="320"/>
      <c r="AQ27" s="320"/>
      <c r="AR27" s="320"/>
      <c r="AS27" s="323"/>
      <c r="AT27" s="323"/>
      <c r="AU27" s="323"/>
      <c r="AV27" s="323"/>
      <c r="AW27" s="323"/>
      <c r="AX27" s="324"/>
      <c r="AY27" s="290"/>
      <c r="BB27" s="169" t="e">
        <v>#N/A</v>
      </c>
      <c r="BC27" s="169"/>
      <c r="BD27" s="169"/>
      <c r="BE27" s="325"/>
      <c r="BG27" s="147"/>
      <c r="BH27" s="341">
        <f t="shared" si="0"/>
        <v>275</v>
      </c>
      <c r="BI27" s="342"/>
      <c r="BJ27" s="342"/>
      <c r="BK27" s="343">
        <v>1</v>
      </c>
      <c r="BL27" s="344">
        <f t="shared" si="1"/>
        <v>275</v>
      </c>
      <c r="BM27" s="342"/>
      <c r="BN27" s="345"/>
      <c r="BO27" s="529">
        <f>SUM(BL22:BL27)</f>
        <v>2040.625</v>
      </c>
      <c r="BP27" s="529">
        <f>BO27*BP1</f>
        <v>42853.125</v>
      </c>
      <c r="BQ27" s="529">
        <f>BP27*BQ1</f>
        <v>171412.5</v>
      </c>
      <c r="BR27" s="529">
        <f>240*6*20*4</f>
        <v>115200</v>
      </c>
      <c r="BS27" s="529">
        <f>BR27-BQ27</f>
        <v>-56212.5</v>
      </c>
      <c r="BT27" s="529"/>
      <c r="BU27" s="529"/>
      <c r="BV27" s="529"/>
    </row>
    <row r="28" spans="1:75" ht="14.75" hidden="1" customHeight="1" thickBot="1" x14ac:dyDescent="0.25">
      <c r="A28" s="143" t="s">
        <v>288</v>
      </c>
      <c r="B28" s="223">
        <f t="shared" si="2"/>
        <v>26</v>
      </c>
      <c r="C28" s="296" t="s">
        <v>586</v>
      </c>
      <c r="D28" s="224" t="s">
        <v>587</v>
      </c>
      <c r="E28" s="224" t="s">
        <v>587</v>
      </c>
      <c r="F28" s="224"/>
      <c r="G28" s="224"/>
      <c r="H28" s="224" t="s">
        <v>906</v>
      </c>
      <c r="I28" s="224" t="s">
        <v>788</v>
      </c>
      <c r="J28" s="224" t="s">
        <v>789</v>
      </c>
      <c r="K28" s="224" t="s">
        <v>588</v>
      </c>
      <c r="L28" s="297">
        <v>298</v>
      </c>
      <c r="M28" s="297"/>
      <c r="N28" s="298" t="s">
        <v>589</v>
      </c>
      <c r="O28" s="298"/>
      <c r="P28" s="299"/>
      <c r="Q28" s="298"/>
      <c r="R28" s="298"/>
      <c r="S28" s="298"/>
      <c r="T28" s="298" t="s">
        <v>590</v>
      </c>
      <c r="U28" s="298" t="s">
        <v>297</v>
      </c>
      <c r="V28" s="298" t="s">
        <v>521</v>
      </c>
      <c r="W28" s="298" t="s">
        <v>591</v>
      </c>
      <c r="X28" s="298" t="s">
        <v>592</v>
      </c>
      <c r="Y28" s="298" t="s">
        <v>339</v>
      </c>
      <c r="Z28" s="298" t="s">
        <v>340</v>
      </c>
      <c r="AA28" s="298" t="s">
        <v>302</v>
      </c>
      <c r="AB28" s="298" t="s">
        <v>509</v>
      </c>
      <c r="AC28" s="300" t="s">
        <v>593</v>
      </c>
      <c r="AD28" s="301" t="s">
        <v>511</v>
      </c>
      <c r="AE28" s="298" t="s">
        <v>594</v>
      </c>
      <c r="AF28" s="298"/>
      <c r="AG28" s="225"/>
      <c r="AH28" s="225"/>
      <c r="AI28" s="225"/>
      <c r="AJ28" s="225"/>
      <c r="AK28" s="302"/>
      <c r="AL28" s="225"/>
      <c r="AM28" s="225"/>
      <c r="AN28" s="302"/>
      <c r="AO28" s="332"/>
      <c r="AP28" s="332" t="s">
        <v>595</v>
      </c>
      <c r="AQ28" s="332"/>
      <c r="AR28" s="332"/>
      <c r="AS28" s="303"/>
      <c r="AT28" s="303"/>
      <c r="AU28" s="303"/>
      <c r="AV28" s="303"/>
      <c r="AW28" s="303"/>
      <c r="AX28" s="304"/>
      <c r="AY28" s="305"/>
      <c r="BB28" s="224" t="e">
        <v>#N/A</v>
      </c>
      <c r="BC28" s="224"/>
      <c r="BD28" s="224"/>
      <c r="BE28" s="306"/>
      <c r="BG28" s="147"/>
      <c r="BH28" s="333">
        <f t="shared" si="0"/>
        <v>0</v>
      </c>
      <c r="BI28" s="334" t="s">
        <v>499</v>
      </c>
      <c r="BJ28" s="334">
        <v>45751</v>
      </c>
      <c r="BK28" s="335">
        <v>0</v>
      </c>
      <c r="BL28" s="336">
        <f t="shared" si="1"/>
        <v>0</v>
      </c>
      <c r="BM28" s="334"/>
      <c r="BN28" s="337"/>
      <c r="BO28" s="529">
        <f>BH28</f>
        <v>0</v>
      </c>
      <c r="BP28" s="529">
        <f>BH28*BP1</f>
        <v>0</v>
      </c>
      <c r="BQ28" s="529">
        <f>BP28*4</f>
        <v>0</v>
      </c>
      <c r="BR28" s="529"/>
      <c r="BS28" s="529"/>
      <c r="BT28" s="529"/>
      <c r="BU28" s="529"/>
      <c r="BV28" s="529"/>
    </row>
    <row r="29" spans="1:75" ht="15.5" hidden="1" thickTop="1" thickBot="1" x14ac:dyDescent="0.25">
      <c r="M29" s="359">
        <f>SUM(M3:M28)*20</f>
        <v>169828.93644756175</v>
      </c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  <c r="AA29" s="359"/>
      <c r="AB29" s="359"/>
      <c r="AC29" s="359"/>
      <c r="AD29" s="359"/>
      <c r="AE29" s="359"/>
      <c r="AF29" s="359"/>
      <c r="AG29" s="359"/>
      <c r="BB29" s="360">
        <f>SUBTOTAL(9,BB3:BB28)</f>
        <v>15</v>
      </c>
      <c r="BC29" s="360">
        <f>SUBTOTAL(9,BC3:BC28)</f>
        <v>0</v>
      </c>
      <c r="BD29" s="360">
        <f>SUBTOTAL(9,BD3:BD28)</f>
        <v>0</v>
      </c>
      <c r="BE29" s="360">
        <f>SUBTOTAL(9,BE3:BE28)</f>
        <v>0</v>
      </c>
      <c r="BG29" s="361"/>
      <c r="BH29" s="361"/>
      <c r="BI29" s="361"/>
      <c r="BJ29" s="361"/>
      <c r="BK29" s="361"/>
      <c r="BL29" s="361"/>
      <c r="BM29" s="361"/>
      <c r="BN29" s="361"/>
    </row>
    <row r="30" spans="1:75" ht="15.5" hidden="1" thickTop="1" thickBot="1" x14ac:dyDescent="0.25">
      <c r="K30" s="312"/>
      <c r="M30" s="359">
        <f>M29/20</f>
        <v>8491.4468223780877</v>
      </c>
      <c r="N30" s="359"/>
      <c r="O30" s="359"/>
      <c r="P30" s="359"/>
      <c r="Q30" s="359"/>
      <c r="R30" s="359"/>
      <c r="S30" s="359"/>
      <c r="T30" s="359"/>
      <c r="U30" s="359"/>
      <c r="V30" s="359"/>
      <c r="W30" s="359"/>
      <c r="X30" s="359"/>
      <c r="Y30" s="359"/>
      <c r="Z30" s="359"/>
      <c r="AA30" s="359"/>
      <c r="AB30" s="359"/>
      <c r="AC30" s="359"/>
      <c r="AD30" s="359"/>
      <c r="AE30" s="359"/>
      <c r="AF30" s="359"/>
      <c r="AG30" s="359"/>
      <c r="BG30" s="362" t="s">
        <v>596</v>
      </c>
      <c r="BH30" s="363">
        <f>SUM(BH3:BH28)</f>
        <v>8491.4468223780877</v>
      </c>
      <c r="BI30" s="361"/>
      <c r="BJ30" s="361"/>
      <c r="BK30" s="361"/>
      <c r="BL30" s="364">
        <f>SUM(BL3:BL28)</f>
        <v>8491.4468223780877</v>
      </c>
      <c r="BM30" s="363">
        <f>BH30-BL30</f>
        <v>0</v>
      </c>
      <c r="BN30" s="365">
        <f>BM30/BH30</f>
        <v>0</v>
      </c>
      <c r="BP30" s="364">
        <f>SUM(BP3:BP28)</f>
        <v>178320.38326993983</v>
      </c>
      <c r="BQ30" s="364">
        <f>SUM(BQ3:BQ28)</f>
        <v>717988.53307975933</v>
      </c>
      <c r="BR30" s="528"/>
      <c r="BS30" s="528">
        <f>SUM(BS4:BS29)</f>
        <v>3577.7069202406565</v>
      </c>
      <c r="BT30" s="528"/>
      <c r="BU30" s="455"/>
      <c r="BV30" s="367">
        <f>BU30-BQ30</f>
        <v>-717988.53307975933</v>
      </c>
    </row>
    <row r="31" spans="1:75" ht="17" thickTop="1" thickBot="1" x14ac:dyDescent="0.25">
      <c r="BG31" s="368" t="s">
        <v>597</v>
      </c>
      <c r="BH31" s="363">
        <f>BH30*20</f>
        <v>169828.93644756175</v>
      </c>
      <c r="BI31" s="369"/>
      <c r="BJ31" s="369"/>
      <c r="BK31" s="369"/>
      <c r="BL31" s="363">
        <f>BL30*20</f>
        <v>169828.93644756175</v>
      </c>
      <c r="BM31" s="363">
        <f>BH31-BL31</f>
        <v>0</v>
      </c>
      <c r="BN31" s="370">
        <f>BM31/BH31</f>
        <v>0</v>
      </c>
      <c r="BV31" s="366">
        <v>-80000</v>
      </c>
      <c r="BW31" s="143" t="s">
        <v>598</v>
      </c>
    </row>
    <row r="32" spans="1:75" ht="16" thickTop="1" x14ac:dyDescent="0.2">
      <c r="B32" s="371" t="s">
        <v>599</v>
      </c>
      <c r="BV32" s="313">
        <f>SUM(BV30:BV31)</f>
        <v>-797988.53307975933</v>
      </c>
    </row>
    <row r="33" spans="2:72" x14ac:dyDescent="0.2">
      <c r="B33" s="372"/>
      <c r="C33" s="373" t="s">
        <v>600</v>
      </c>
      <c r="D33" s="373"/>
      <c r="E33" s="373"/>
      <c r="F33" s="373"/>
      <c r="G33" s="373" t="s">
        <v>601</v>
      </c>
      <c r="H33" s="373"/>
      <c r="I33" s="374"/>
      <c r="J33" s="374"/>
      <c r="K33" s="374"/>
      <c r="L33" s="374"/>
      <c r="M33" s="375"/>
      <c r="N33" s="375" t="s">
        <v>602</v>
      </c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  <c r="AA33" s="375"/>
      <c r="AB33" s="375"/>
      <c r="AC33" s="375"/>
      <c r="AD33" s="375"/>
      <c r="AE33" s="375"/>
      <c r="AF33" s="375"/>
      <c r="AG33" s="375"/>
      <c r="AH33" s="376"/>
      <c r="AI33" s="377">
        <v>45124</v>
      </c>
      <c r="AJ33" s="376"/>
      <c r="AK33" s="376" t="s">
        <v>603</v>
      </c>
      <c r="AL33" s="376"/>
      <c r="AM33" s="376"/>
      <c r="AN33" s="376"/>
      <c r="AO33" s="376"/>
      <c r="AP33" s="376"/>
      <c r="AQ33" s="376"/>
      <c r="AR33" s="376"/>
      <c r="AS33" s="376"/>
      <c r="AT33" s="376"/>
      <c r="AU33" s="376"/>
      <c r="AV33" s="376"/>
      <c r="AW33" s="376"/>
      <c r="AX33" s="378"/>
      <c r="BK33" s="143" t="s">
        <v>45</v>
      </c>
      <c r="BL33" s="154">
        <v>31122</v>
      </c>
    </row>
    <row r="34" spans="2:72" x14ac:dyDescent="0.2">
      <c r="B34" s="379"/>
      <c r="C34" s="380" t="s">
        <v>604</v>
      </c>
      <c r="D34" s="381" t="s">
        <v>24</v>
      </c>
      <c r="E34" s="381" t="s">
        <v>605</v>
      </c>
      <c r="F34" s="381"/>
      <c r="G34" s="382" t="s">
        <v>606</v>
      </c>
      <c r="H34" s="382"/>
      <c r="I34" s="383" t="s">
        <v>607</v>
      </c>
      <c r="J34" s="383"/>
      <c r="K34" s="383"/>
      <c r="L34" s="383"/>
      <c r="M34" s="384">
        <v>366</v>
      </c>
      <c r="N34" s="385" t="s">
        <v>602</v>
      </c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  <c r="AA34" s="384"/>
      <c r="AB34" s="384"/>
      <c r="AC34" s="384"/>
      <c r="AD34" s="384"/>
      <c r="AE34" s="384"/>
      <c r="AF34" s="384"/>
      <c r="AG34" s="384"/>
      <c r="AH34" s="386"/>
      <c r="AI34" s="387">
        <v>45208</v>
      </c>
      <c r="AJ34" s="386"/>
      <c r="AK34" s="386" t="s">
        <v>603</v>
      </c>
      <c r="AL34" s="386"/>
      <c r="AM34" s="386"/>
      <c r="AN34" s="386"/>
      <c r="AO34" s="386"/>
      <c r="AP34" s="386"/>
      <c r="AQ34" s="386"/>
      <c r="AR34" s="386"/>
      <c r="AS34" s="386"/>
      <c r="AT34" s="386"/>
      <c r="AU34" s="386"/>
      <c r="AV34" s="386"/>
      <c r="AW34" s="386"/>
      <c r="AX34" s="388"/>
      <c r="BK34" s="143" t="s">
        <v>61</v>
      </c>
      <c r="BL34" s="154">
        <v>11155</v>
      </c>
    </row>
    <row r="35" spans="2:72" x14ac:dyDescent="0.2">
      <c r="B35" s="379"/>
      <c r="C35" s="380" t="s">
        <v>608</v>
      </c>
      <c r="D35" s="381" t="s">
        <v>24</v>
      </c>
      <c r="E35" s="381" t="s">
        <v>609</v>
      </c>
      <c r="F35" s="381"/>
      <c r="G35" s="382" t="s">
        <v>606</v>
      </c>
      <c r="H35" s="382"/>
      <c r="I35" s="383" t="s">
        <v>610</v>
      </c>
      <c r="J35" s="383"/>
      <c r="K35" s="383"/>
      <c r="L35" s="383"/>
      <c r="M35" s="384">
        <v>317</v>
      </c>
      <c r="N35" s="385" t="s">
        <v>602</v>
      </c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4"/>
      <c r="Z35" s="384"/>
      <c r="AA35" s="384"/>
      <c r="AB35" s="384"/>
      <c r="AC35" s="384"/>
      <c r="AD35" s="384"/>
      <c r="AE35" s="384"/>
      <c r="AF35" s="384"/>
      <c r="AG35" s="384"/>
      <c r="AH35" s="386"/>
      <c r="AI35" s="387">
        <v>45208</v>
      </c>
      <c r="AJ35" s="386"/>
      <c r="AK35" s="386" t="s">
        <v>603</v>
      </c>
      <c r="AL35" s="386"/>
      <c r="AM35" s="386"/>
      <c r="AN35" s="386"/>
      <c r="AO35" s="386"/>
      <c r="AP35" s="386"/>
      <c r="AQ35" s="386"/>
      <c r="AR35" s="386"/>
      <c r="AS35" s="386"/>
      <c r="AT35" s="386"/>
      <c r="AU35" s="386"/>
      <c r="AV35" s="386"/>
      <c r="AW35" s="386"/>
      <c r="AX35" s="388"/>
      <c r="BL35" s="313">
        <f>BL31-BL33-BL34</f>
        <v>127551.93644756175</v>
      </c>
    </row>
    <row r="36" spans="2:72" x14ac:dyDescent="0.2">
      <c r="B36" s="379"/>
      <c r="C36" s="380"/>
      <c r="D36" s="381"/>
      <c r="E36" s="381"/>
      <c r="F36" s="381"/>
      <c r="G36" s="382"/>
      <c r="H36" s="382"/>
      <c r="I36" s="383"/>
      <c r="J36" s="383"/>
      <c r="K36" s="383"/>
      <c r="L36" s="383"/>
      <c r="M36" s="384"/>
      <c r="N36" s="385"/>
      <c r="O36" s="384"/>
      <c r="P36" s="384"/>
      <c r="Q36" s="384"/>
      <c r="R36" s="384"/>
      <c r="S36" s="384"/>
      <c r="T36" s="384"/>
      <c r="U36" s="384"/>
      <c r="V36" s="384"/>
      <c r="W36" s="384"/>
      <c r="X36" s="384"/>
      <c r="Y36" s="384"/>
      <c r="Z36" s="384"/>
      <c r="AA36" s="384"/>
      <c r="AB36" s="384"/>
      <c r="AC36" s="384"/>
      <c r="AD36" s="384"/>
      <c r="AE36" s="384"/>
      <c r="AF36" s="384"/>
      <c r="AG36" s="384"/>
      <c r="AH36" s="386"/>
      <c r="AI36" s="387"/>
      <c r="AJ36" s="386"/>
      <c r="AK36" s="386"/>
      <c r="AL36" s="386"/>
      <c r="AM36" s="386"/>
      <c r="AN36" s="386"/>
      <c r="AO36" s="386"/>
      <c r="AP36" s="386"/>
      <c r="AQ36" s="386"/>
      <c r="AR36" s="386"/>
      <c r="AS36" s="386"/>
      <c r="AT36" s="386"/>
      <c r="AU36" s="386"/>
      <c r="AV36" s="386"/>
      <c r="AW36" s="386"/>
      <c r="AX36" s="388"/>
    </row>
    <row r="37" spans="2:72" x14ac:dyDescent="0.2">
      <c r="B37" s="379"/>
      <c r="C37" s="380"/>
      <c r="D37" s="381"/>
      <c r="E37" s="381"/>
      <c r="F37" s="381"/>
      <c r="G37" s="382"/>
      <c r="H37" s="382"/>
      <c r="I37" s="383"/>
      <c r="J37" s="383"/>
      <c r="K37" s="383"/>
      <c r="L37" s="383"/>
      <c r="M37" s="384"/>
      <c r="N37" s="385"/>
      <c r="O37" s="384"/>
      <c r="P37" s="384"/>
      <c r="Q37" s="384"/>
      <c r="R37" s="384"/>
      <c r="S37" s="384"/>
      <c r="T37" s="384"/>
      <c r="U37" s="384"/>
      <c r="V37" s="384"/>
      <c r="W37" s="384"/>
      <c r="X37" s="384"/>
      <c r="Y37" s="384"/>
      <c r="Z37" s="384"/>
      <c r="AA37" s="384"/>
      <c r="AB37" s="384"/>
      <c r="AC37" s="384"/>
      <c r="AD37" s="384"/>
      <c r="AE37" s="384"/>
      <c r="AF37" s="384"/>
      <c r="AG37" s="384"/>
      <c r="AH37" s="386"/>
      <c r="AI37" s="387"/>
      <c r="AJ37" s="386"/>
      <c r="AK37" s="386"/>
      <c r="AL37" s="386"/>
      <c r="AM37" s="386"/>
      <c r="AN37" s="386"/>
      <c r="AO37" s="386"/>
      <c r="AP37" s="386"/>
      <c r="AQ37" s="386"/>
      <c r="AR37" s="386"/>
      <c r="AS37" s="386"/>
      <c r="AT37" s="386"/>
      <c r="AU37" s="386"/>
      <c r="AV37" s="386"/>
      <c r="AW37" s="386"/>
      <c r="AX37" s="388"/>
    </row>
    <row r="38" spans="2:72" x14ac:dyDescent="0.2">
      <c r="B38" s="379"/>
      <c r="C38" s="380"/>
      <c r="D38" s="381"/>
      <c r="E38" s="381"/>
      <c r="F38" s="381"/>
      <c r="G38" s="382"/>
      <c r="H38" s="382"/>
      <c r="I38" s="383"/>
      <c r="J38" s="383"/>
      <c r="K38" s="383"/>
      <c r="L38" s="383"/>
      <c r="M38" s="384"/>
      <c r="N38" s="385"/>
      <c r="O38" s="384"/>
      <c r="P38" s="384"/>
      <c r="Q38" s="384"/>
      <c r="R38" s="384"/>
      <c r="S38" s="384"/>
      <c r="T38" s="384"/>
      <c r="U38" s="384"/>
      <c r="V38" s="384"/>
      <c r="W38" s="384"/>
      <c r="X38" s="384"/>
      <c r="Y38" s="384"/>
      <c r="Z38" s="384"/>
      <c r="AA38" s="384"/>
      <c r="AB38" s="384"/>
      <c r="AC38" s="384"/>
      <c r="AD38" s="384"/>
      <c r="AE38" s="384"/>
      <c r="AF38" s="384"/>
      <c r="AG38" s="384"/>
      <c r="AH38" s="386"/>
      <c r="AI38" s="387"/>
      <c r="AJ38" s="386"/>
      <c r="AK38" s="386"/>
      <c r="AL38" s="386"/>
      <c r="AM38" s="386"/>
      <c r="AN38" s="386"/>
      <c r="AO38" s="386"/>
      <c r="AP38" s="386"/>
      <c r="AQ38" s="386"/>
      <c r="AR38" s="386"/>
      <c r="AS38" s="386"/>
      <c r="AT38" s="386"/>
      <c r="AU38" s="386"/>
      <c r="AV38" s="386"/>
      <c r="AW38" s="386"/>
      <c r="AX38" s="388"/>
    </row>
    <row r="39" spans="2:72" x14ac:dyDescent="0.2">
      <c r="B39" s="379"/>
      <c r="C39" s="380"/>
      <c r="D39" s="381"/>
      <c r="E39" s="381"/>
      <c r="F39" s="381"/>
      <c r="G39" s="382"/>
      <c r="H39" s="382"/>
      <c r="I39" s="383"/>
      <c r="J39" s="383"/>
      <c r="K39" s="383"/>
      <c r="L39" s="383"/>
      <c r="M39" s="384"/>
      <c r="N39" s="385"/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4"/>
      <c r="Z39" s="384"/>
      <c r="AA39" s="384"/>
      <c r="AB39" s="384"/>
      <c r="AC39" s="384"/>
      <c r="AD39" s="384"/>
      <c r="AE39" s="384"/>
      <c r="AF39" s="384"/>
      <c r="AG39" s="384"/>
      <c r="AH39" s="386"/>
      <c r="AI39" s="387"/>
      <c r="AJ39" s="386"/>
      <c r="AK39" s="386"/>
      <c r="AL39" s="386"/>
      <c r="AM39" s="386"/>
      <c r="AN39" s="386"/>
      <c r="AO39" s="386"/>
      <c r="AP39" s="386"/>
      <c r="AQ39" s="386"/>
      <c r="AR39" s="386"/>
      <c r="AS39" s="386"/>
      <c r="AT39" s="386"/>
      <c r="AU39" s="386"/>
      <c r="AV39" s="386"/>
      <c r="AW39" s="386"/>
      <c r="AX39" s="388"/>
    </row>
    <row r="40" spans="2:72" x14ac:dyDescent="0.2">
      <c r="B40" s="379"/>
      <c r="C40" s="380"/>
      <c r="D40" s="381"/>
      <c r="E40" s="381"/>
      <c r="F40" s="381"/>
      <c r="G40" s="382"/>
      <c r="H40" s="382"/>
      <c r="I40" s="383"/>
      <c r="J40" s="383"/>
      <c r="K40" s="383"/>
      <c r="L40" s="383"/>
      <c r="M40" s="384"/>
      <c r="N40" s="385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  <c r="AA40" s="384"/>
      <c r="AB40" s="384"/>
      <c r="AC40" s="384"/>
      <c r="AD40" s="384"/>
      <c r="AE40" s="384"/>
      <c r="AF40" s="384"/>
      <c r="AG40" s="384"/>
      <c r="AH40" s="386"/>
      <c r="AI40" s="387"/>
      <c r="AJ40" s="386"/>
      <c r="AK40" s="386"/>
      <c r="AL40" s="386"/>
      <c r="AM40" s="386"/>
      <c r="AN40" s="386"/>
      <c r="AO40" s="386"/>
      <c r="AP40" s="386"/>
      <c r="AQ40" s="386"/>
      <c r="AR40" s="386"/>
      <c r="AS40" s="386"/>
      <c r="AT40" s="386"/>
      <c r="AU40" s="386"/>
      <c r="AV40" s="386"/>
      <c r="AW40" s="386"/>
      <c r="AX40" s="388"/>
    </row>
    <row r="41" spans="2:72" x14ac:dyDescent="0.2">
      <c r="B41" s="379"/>
      <c r="C41" s="380"/>
      <c r="D41" s="381"/>
      <c r="E41" s="381"/>
      <c r="F41" s="381"/>
      <c r="G41" s="382"/>
      <c r="H41" s="382"/>
      <c r="I41" s="383"/>
      <c r="J41" s="383"/>
      <c r="K41" s="383"/>
      <c r="L41" s="383"/>
      <c r="M41" s="384"/>
      <c r="N41" s="385"/>
      <c r="O41" s="384"/>
      <c r="P41" s="384"/>
      <c r="Q41" s="384"/>
      <c r="R41" s="384"/>
      <c r="S41" s="384"/>
      <c r="T41" s="384"/>
      <c r="U41" s="384"/>
      <c r="V41" s="384"/>
      <c r="W41" s="384"/>
      <c r="X41" s="384"/>
      <c r="Y41" s="384"/>
      <c r="Z41" s="384"/>
      <c r="AA41" s="384"/>
      <c r="AB41" s="384"/>
      <c r="AC41" s="384"/>
      <c r="AD41" s="384"/>
      <c r="AE41" s="384"/>
      <c r="AF41" s="384"/>
      <c r="AG41" s="384"/>
      <c r="AH41" s="386"/>
      <c r="AI41" s="387"/>
      <c r="AJ41" s="386"/>
      <c r="AK41" s="386"/>
      <c r="AL41" s="386"/>
      <c r="AM41" s="386"/>
      <c r="AN41" s="386"/>
      <c r="AO41" s="386"/>
      <c r="AP41" s="386"/>
      <c r="AQ41" s="386"/>
      <c r="AR41" s="386"/>
      <c r="AS41" s="386"/>
      <c r="AT41" s="386"/>
      <c r="AU41" s="386"/>
      <c r="AV41" s="386"/>
      <c r="AW41" s="386"/>
      <c r="AX41" s="388"/>
    </row>
    <row r="42" spans="2:72" x14ac:dyDescent="0.2">
      <c r="B42" s="379"/>
      <c r="C42" s="380"/>
      <c r="D42" s="381"/>
      <c r="E42" s="381"/>
      <c r="F42" s="381"/>
      <c r="G42" s="382"/>
      <c r="H42" s="382"/>
      <c r="I42" s="383"/>
      <c r="J42" s="383"/>
      <c r="K42" s="383"/>
      <c r="L42" s="383"/>
      <c r="M42" s="384"/>
      <c r="N42" s="385"/>
      <c r="O42" s="384"/>
      <c r="P42" s="384"/>
      <c r="Q42" s="384"/>
      <c r="R42" s="384"/>
      <c r="S42" s="384"/>
      <c r="T42" s="384"/>
      <c r="U42" s="384"/>
      <c r="V42" s="384"/>
      <c r="W42" s="384"/>
      <c r="X42" s="384"/>
      <c r="Y42" s="384"/>
      <c r="Z42" s="384"/>
      <c r="AA42" s="384"/>
      <c r="AB42" s="384"/>
      <c r="AC42" s="384"/>
      <c r="AD42" s="384"/>
      <c r="AE42" s="384"/>
      <c r="AF42" s="384"/>
      <c r="AG42" s="384"/>
      <c r="AH42" s="386"/>
      <c r="AI42" s="387"/>
      <c r="AJ42" s="386"/>
      <c r="AK42" s="386"/>
      <c r="AL42" s="386"/>
      <c r="AM42" s="386"/>
      <c r="AN42" s="386"/>
      <c r="AO42" s="386"/>
      <c r="AP42" s="386"/>
      <c r="AQ42" s="386"/>
      <c r="AR42" s="386"/>
      <c r="AS42" s="386"/>
      <c r="AT42" s="386"/>
      <c r="AU42" s="386"/>
      <c r="AV42" s="386"/>
      <c r="AW42" s="386"/>
      <c r="AX42" s="388"/>
    </row>
    <row r="43" spans="2:72" s="394" customFormat="1" x14ac:dyDescent="0.2">
      <c r="B43" s="389"/>
      <c r="C43" s="380"/>
      <c r="D43" s="381"/>
      <c r="E43" s="381"/>
      <c r="F43" s="381"/>
      <c r="G43" s="390"/>
      <c r="H43" s="390"/>
      <c r="I43" s="383"/>
      <c r="J43" s="383"/>
      <c r="K43" s="383"/>
      <c r="L43" s="383"/>
      <c r="M43" s="384"/>
      <c r="N43" s="385"/>
      <c r="O43" s="384"/>
      <c r="P43" s="384"/>
      <c r="Q43" s="384"/>
      <c r="R43" s="384"/>
      <c r="S43" s="384"/>
      <c r="T43" s="384"/>
      <c r="U43" s="384"/>
      <c r="V43" s="384"/>
      <c r="W43" s="384"/>
      <c r="X43" s="384"/>
      <c r="Y43" s="384"/>
      <c r="Z43" s="384"/>
      <c r="AA43" s="384"/>
      <c r="AB43" s="384"/>
      <c r="AC43" s="384"/>
      <c r="AD43" s="384"/>
      <c r="AE43" s="384"/>
      <c r="AF43" s="384"/>
      <c r="AG43" s="384"/>
      <c r="AH43" s="391"/>
      <c r="AI43" s="391"/>
      <c r="AJ43" s="391"/>
      <c r="AK43" s="391"/>
      <c r="AL43" s="391"/>
      <c r="AM43" s="391"/>
      <c r="AN43" s="391"/>
      <c r="AO43" s="391"/>
      <c r="AP43" s="391"/>
      <c r="AQ43" s="391"/>
      <c r="AR43" s="391"/>
      <c r="AS43" s="391"/>
      <c r="AT43" s="391"/>
      <c r="AU43" s="391"/>
      <c r="AV43" s="391"/>
      <c r="AW43" s="391"/>
      <c r="AX43" s="392"/>
      <c r="AY43" s="393"/>
    </row>
    <row r="44" spans="2:72" s="394" customFormat="1" x14ac:dyDescent="0.2">
      <c r="B44" s="389"/>
      <c r="C44" s="380"/>
      <c r="D44" s="381"/>
      <c r="E44" s="381"/>
      <c r="F44" s="381"/>
      <c r="G44" s="390"/>
      <c r="H44" s="390"/>
      <c r="I44" s="383"/>
      <c r="J44" s="383"/>
      <c r="K44" s="383"/>
      <c r="L44" s="383"/>
      <c r="M44" s="384"/>
      <c r="N44" s="385"/>
      <c r="O44" s="384"/>
      <c r="P44" s="384"/>
      <c r="Q44" s="384"/>
      <c r="R44" s="384"/>
      <c r="S44" s="384"/>
      <c r="T44" s="384"/>
      <c r="U44" s="384"/>
      <c r="V44" s="384"/>
      <c r="W44" s="384"/>
      <c r="X44" s="384"/>
      <c r="Y44" s="384"/>
      <c r="Z44" s="384"/>
      <c r="AA44" s="384"/>
      <c r="AB44" s="384"/>
      <c r="AC44" s="384"/>
      <c r="AD44" s="384"/>
      <c r="AE44" s="384"/>
      <c r="AF44" s="384"/>
      <c r="AG44" s="384"/>
      <c r="AH44" s="391"/>
      <c r="AI44" s="391"/>
      <c r="AJ44" s="391"/>
      <c r="AK44" s="391"/>
      <c r="AL44" s="391"/>
      <c r="AM44" s="391"/>
      <c r="AN44" s="391"/>
      <c r="AO44" s="391"/>
      <c r="AP44" s="391"/>
      <c r="AQ44" s="391"/>
      <c r="AR44" s="391"/>
      <c r="AS44" s="391"/>
      <c r="AT44" s="391"/>
      <c r="AU44" s="391"/>
      <c r="AV44" s="391"/>
      <c r="AW44" s="391"/>
      <c r="AX44" s="392"/>
      <c r="AY44" s="39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3"/>
      <c r="BT44" s="143"/>
    </row>
    <row r="45" spans="2:72" s="394" customFormat="1" x14ac:dyDescent="0.2">
      <c r="B45" s="389"/>
      <c r="C45" s="380"/>
      <c r="D45" s="381"/>
      <c r="E45" s="381"/>
      <c r="F45" s="381"/>
      <c r="G45" s="390"/>
      <c r="H45" s="390"/>
      <c r="I45" s="383"/>
      <c r="J45" s="383"/>
      <c r="K45" s="383"/>
      <c r="L45" s="383"/>
      <c r="M45" s="384"/>
      <c r="N45" s="385"/>
      <c r="O45" s="384"/>
      <c r="P45" s="384"/>
      <c r="Q45" s="384"/>
      <c r="R45" s="384"/>
      <c r="S45" s="384"/>
      <c r="T45" s="384"/>
      <c r="U45" s="384"/>
      <c r="V45" s="384"/>
      <c r="W45" s="384"/>
      <c r="X45" s="384"/>
      <c r="Y45" s="384"/>
      <c r="Z45" s="384"/>
      <c r="AA45" s="384"/>
      <c r="AB45" s="384"/>
      <c r="AC45" s="384"/>
      <c r="AD45" s="384"/>
      <c r="AE45" s="384"/>
      <c r="AF45" s="384"/>
      <c r="AG45" s="384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2"/>
      <c r="AY45" s="393"/>
      <c r="BB45" s="143"/>
      <c r="BC45" s="143"/>
      <c r="BD45" s="143"/>
      <c r="BE45" s="143"/>
      <c r="BF45" s="143"/>
      <c r="BG45" s="143"/>
      <c r="BH45" s="143"/>
      <c r="BI45" s="143"/>
      <c r="BJ45" s="143"/>
      <c r="BK45" s="143"/>
      <c r="BL45" s="143"/>
      <c r="BM45" s="143"/>
      <c r="BN45" s="143"/>
      <c r="BO45" s="143"/>
      <c r="BP45" s="143"/>
      <c r="BQ45" s="143"/>
      <c r="BR45" s="143"/>
      <c r="BS45" s="143"/>
      <c r="BT45" s="143"/>
    </row>
    <row r="46" spans="2:72" s="394" customFormat="1" x14ac:dyDescent="0.2">
      <c r="B46" s="389"/>
      <c r="C46" s="380"/>
      <c r="D46" s="381"/>
      <c r="E46" s="381"/>
      <c r="F46" s="381"/>
      <c r="G46" s="390"/>
      <c r="H46" s="390"/>
      <c r="I46" s="383"/>
      <c r="J46" s="383"/>
      <c r="K46" s="383"/>
      <c r="L46" s="383"/>
      <c r="M46" s="384"/>
      <c r="N46" s="385"/>
      <c r="O46" s="384"/>
      <c r="P46" s="384"/>
      <c r="Q46" s="384"/>
      <c r="R46" s="384"/>
      <c r="S46" s="384"/>
      <c r="T46" s="384"/>
      <c r="U46" s="384"/>
      <c r="V46" s="384"/>
      <c r="W46" s="384"/>
      <c r="X46" s="384"/>
      <c r="Y46" s="384"/>
      <c r="Z46" s="384"/>
      <c r="AA46" s="384"/>
      <c r="AB46" s="384"/>
      <c r="AC46" s="384"/>
      <c r="AD46" s="384"/>
      <c r="AE46" s="384"/>
      <c r="AF46" s="384"/>
      <c r="AG46" s="384"/>
      <c r="AH46" s="391"/>
      <c r="AI46" s="391"/>
      <c r="AJ46" s="391"/>
      <c r="AK46" s="391"/>
      <c r="AL46" s="391"/>
      <c r="AM46" s="391"/>
      <c r="AN46" s="391"/>
      <c r="AO46" s="391"/>
      <c r="AP46" s="391"/>
      <c r="AQ46" s="391"/>
      <c r="AR46" s="391"/>
      <c r="AS46" s="391"/>
      <c r="AT46" s="391"/>
      <c r="AU46" s="391"/>
      <c r="AV46" s="391"/>
      <c r="AW46" s="391"/>
      <c r="AX46" s="392"/>
      <c r="AY46" s="39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  <c r="BR46" s="143"/>
      <c r="BS46" s="143"/>
      <c r="BT46" s="143"/>
    </row>
    <row r="47" spans="2:72" s="394" customFormat="1" x14ac:dyDescent="0.2">
      <c r="B47" s="389"/>
      <c r="C47" s="380"/>
      <c r="D47" s="381"/>
      <c r="E47" s="381"/>
      <c r="F47" s="381"/>
      <c r="G47" s="390"/>
      <c r="H47" s="390"/>
      <c r="I47" s="383"/>
      <c r="J47" s="383"/>
      <c r="K47" s="383"/>
      <c r="L47" s="383"/>
      <c r="M47" s="384"/>
      <c r="N47" s="385"/>
      <c r="O47" s="384"/>
      <c r="P47" s="384"/>
      <c r="Q47" s="384"/>
      <c r="R47" s="384"/>
      <c r="S47" s="384"/>
      <c r="T47" s="384"/>
      <c r="U47" s="384"/>
      <c r="V47" s="384"/>
      <c r="W47" s="384"/>
      <c r="X47" s="384"/>
      <c r="Y47" s="384"/>
      <c r="Z47" s="384"/>
      <c r="AA47" s="384"/>
      <c r="AB47" s="384"/>
      <c r="AC47" s="384"/>
      <c r="AD47" s="384"/>
      <c r="AE47" s="384"/>
      <c r="AF47" s="384"/>
      <c r="AG47" s="384"/>
      <c r="AH47" s="391"/>
      <c r="AI47" s="391"/>
      <c r="AJ47" s="391"/>
      <c r="AK47" s="391"/>
      <c r="AL47" s="391"/>
      <c r="AM47" s="391"/>
      <c r="AN47" s="391"/>
      <c r="AO47" s="391"/>
      <c r="AP47" s="391"/>
      <c r="AQ47" s="391"/>
      <c r="AR47" s="391"/>
      <c r="AS47" s="391"/>
      <c r="AT47" s="391"/>
      <c r="AU47" s="391"/>
      <c r="AV47" s="391"/>
      <c r="AW47" s="391"/>
      <c r="AX47" s="392"/>
      <c r="AY47" s="39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  <c r="BP47" s="143"/>
      <c r="BQ47" s="143"/>
      <c r="BR47" s="143"/>
      <c r="BS47" s="143"/>
      <c r="BT47" s="143"/>
    </row>
    <row r="48" spans="2:72" s="394" customFormat="1" x14ac:dyDescent="0.2">
      <c r="B48" s="389"/>
      <c r="C48" s="380"/>
      <c r="D48" s="381"/>
      <c r="E48" s="381"/>
      <c r="F48" s="381"/>
      <c r="G48" s="390"/>
      <c r="H48" s="390"/>
      <c r="I48" s="383"/>
      <c r="J48" s="383"/>
      <c r="K48" s="383"/>
      <c r="L48" s="383"/>
      <c r="M48" s="384"/>
      <c r="N48" s="385"/>
      <c r="O48" s="384"/>
      <c r="P48" s="384"/>
      <c r="Q48" s="384"/>
      <c r="R48" s="384"/>
      <c r="S48" s="384"/>
      <c r="T48" s="384"/>
      <c r="U48" s="384"/>
      <c r="V48" s="384"/>
      <c r="W48" s="384"/>
      <c r="X48" s="384"/>
      <c r="Y48" s="384"/>
      <c r="Z48" s="384"/>
      <c r="AA48" s="384"/>
      <c r="AB48" s="384"/>
      <c r="AC48" s="384"/>
      <c r="AD48" s="384"/>
      <c r="AE48" s="384"/>
      <c r="AF48" s="384"/>
      <c r="AG48" s="384"/>
      <c r="AH48" s="391"/>
      <c r="AI48" s="391"/>
      <c r="AJ48" s="391"/>
      <c r="AK48" s="391"/>
      <c r="AL48" s="391"/>
      <c r="AM48" s="391"/>
      <c r="AN48" s="391"/>
      <c r="AO48" s="391"/>
      <c r="AP48" s="391"/>
      <c r="AQ48" s="391"/>
      <c r="AR48" s="391"/>
      <c r="AS48" s="391"/>
      <c r="AT48" s="391"/>
      <c r="AU48" s="391"/>
      <c r="AV48" s="391"/>
      <c r="AW48" s="391"/>
      <c r="AX48" s="392"/>
      <c r="AY48" s="39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3"/>
      <c r="BQ48" s="143"/>
      <c r="BR48" s="143"/>
      <c r="BS48" s="143"/>
      <c r="BT48" s="143"/>
    </row>
    <row r="49" spans="2:72" s="394" customFormat="1" x14ac:dyDescent="0.2">
      <c r="B49" s="389"/>
      <c r="C49" s="380"/>
      <c r="D49" s="381"/>
      <c r="E49" s="381"/>
      <c r="F49" s="381"/>
      <c r="G49" s="390"/>
      <c r="H49" s="390"/>
      <c r="I49" s="383"/>
      <c r="J49" s="383"/>
      <c r="K49" s="383"/>
      <c r="L49" s="383"/>
      <c r="M49" s="384"/>
      <c r="N49" s="385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  <c r="AA49" s="384"/>
      <c r="AB49" s="384"/>
      <c r="AC49" s="384"/>
      <c r="AD49" s="384"/>
      <c r="AE49" s="384"/>
      <c r="AF49" s="384"/>
      <c r="AG49" s="384"/>
      <c r="AH49" s="391"/>
      <c r="AI49" s="391"/>
      <c r="AJ49" s="391"/>
      <c r="AK49" s="391"/>
      <c r="AL49" s="391"/>
      <c r="AM49" s="391"/>
      <c r="AN49" s="391"/>
      <c r="AO49" s="391"/>
      <c r="AP49" s="391"/>
      <c r="AQ49" s="391"/>
      <c r="AR49" s="391"/>
      <c r="AS49" s="391"/>
      <c r="AT49" s="391"/>
      <c r="AU49" s="391"/>
      <c r="AV49" s="391"/>
      <c r="AW49" s="391"/>
      <c r="AX49" s="392"/>
      <c r="AY49" s="39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</row>
    <row r="50" spans="2:72" s="394" customFormat="1" x14ac:dyDescent="0.2">
      <c r="B50" s="389"/>
      <c r="C50" s="380"/>
      <c r="D50" s="381"/>
      <c r="E50" s="381"/>
      <c r="F50" s="381"/>
      <c r="G50" s="390"/>
      <c r="H50" s="390"/>
      <c r="I50" s="383"/>
      <c r="J50" s="383"/>
      <c r="K50" s="383"/>
      <c r="L50" s="383"/>
      <c r="M50" s="384"/>
      <c r="N50" s="385"/>
      <c r="O50" s="384"/>
      <c r="P50" s="384"/>
      <c r="Q50" s="384"/>
      <c r="R50" s="384"/>
      <c r="S50" s="384"/>
      <c r="T50" s="384"/>
      <c r="U50" s="384"/>
      <c r="V50" s="384"/>
      <c r="W50" s="384"/>
      <c r="X50" s="384"/>
      <c r="Y50" s="384"/>
      <c r="Z50" s="384"/>
      <c r="AA50" s="384"/>
      <c r="AB50" s="384"/>
      <c r="AC50" s="384"/>
      <c r="AD50" s="384"/>
      <c r="AE50" s="384"/>
      <c r="AF50" s="384"/>
      <c r="AG50" s="384"/>
      <c r="AH50" s="391"/>
      <c r="AI50" s="391"/>
      <c r="AJ50" s="391"/>
      <c r="AK50" s="391"/>
      <c r="AL50" s="391"/>
      <c r="AM50" s="391"/>
      <c r="AN50" s="391"/>
      <c r="AO50" s="391"/>
      <c r="AP50" s="391"/>
      <c r="AQ50" s="391"/>
      <c r="AR50" s="391"/>
      <c r="AS50" s="391"/>
      <c r="AT50" s="391"/>
      <c r="AU50" s="391"/>
      <c r="AV50" s="391"/>
      <c r="AW50" s="391"/>
      <c r="AX50" s="392"/>
      <c r="AY50" s="39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</row>
    <row r="51" spans="2:72" ht="14.75" customHeight="1" x14ac:dyDescent="0.2">
      <c r="B51" s="223"/>
      <c r="C51" s="296"/>
      <c r="D51" s="224"/>
      <c r="E51" s="224"/>
      <c r="F51" s="224"/>
      <c r="G51" s="224"/>
      <c r="H51" s="224"/>
      <c r="I51" s="224"/>
      <c r="J51" s="224"/>
      <c r="K51" s="224"/>
      <c r="L51" s="297"/>
      <c r="M51" s="297"/>
      <c r="N51" s="298"/>
      <c r="O51" s="298"/>
      <c r="P51" s="299"/>
      <c r="Q51" s="298"/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300"/>
      <c r="AD51" s="301"/>
      <c r="AE51" s="298"/>
      <c r="AF51" s="298"/>
      <c r="AG51" s="298"/>
      <c r="AH51" s="225"/>
      <c r="AI51" s="225"/>
      <c r="AJ51" s="225"/>
      <c r="AK51" s="302"/>
      <c r="AL51" s="225"/>
      <c r="AM51" s="225"/>
      <c r="AN51" s="302"/>
      <c r="AO51" s="332"/>
      <c r="AP51" s="332"/>
      <c r="AQ51" s="332"/>
      <c r="AR51" s="395"/>
      <c r="AS51" s="303"/>
      <c r="AT51" s="303"/>
      <c r="AU51" s="303"/>
      <c r="AV51" s="303"/>
      <c r="AW51" s="303"/>
      <c r="AX51" s="304"/>
      <c r="AY51" s="305"/>
    </row>
    <row r="52" spans="2:72" ht="14.75" customHeight="1" x14ac:dyDescent="0.2">
      <c r="B52" s="223"/>
      <c r="C52" s="296"/>
      <c r="D52" s="224"/>
      <c r="E52" s="224"/>
      <c r="F52" s="224"/>
      <c r="G52" s="224"/>
      <c r="H52" s="224"/>
      <c r="I52" s="224"/>
      <c r="J52" s="224"/>
      <c r="K52" s="224"/>
      <c r="L52" s="297"/>
      <c r="M52" s="297"/>
      <c r="N52" s="298"/>
      <c r="O52" s="298"/>
      <c r="P52" s="299"/>
      <c r="Q52" s="298"/>
      <c r="R52" s="298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  <c r="AC52" s="300"/>
      <c r="AD52" s="301"/>
      <c r="AE52" s="298"/>
      <c r="AF52" s="298"/>
      <c r="AG52" s="298"/>
      <c r="AH52" s="225"/>
      <c r="AI52" s="225"/>
      <c r="AJ52" s="225"/>
      <c r="AK52" s="302"/>
      <c r="AL52" s="225"/>
      <c r="AM52" s="225"/>
      <c r="AN52" s="302"/>
      <c r="AO52" s="332"/>
      <c r="AP52" s="332"/>
      <c r="AQ52" s="332"/>
      <c r="AR52" s="395"/>
      <c r="AS52" s="303"/>
      <c r="AT52" s="303"/>
      <c r="AU52" s="303"/>
      <c r="AV52" s="303"/>
      <c r="AW52" s="303"/>
      <c r="AX52" s="304"/>
      <c r="AY52" s="305"/>
    </row>
  </sheetData>
  <autoFilter ref="B2:AY30" xr:uid="{0DF7B072-6352-4D39-B9DE-48C049856C22}">
    <filterColumn colId="1">
      <filters>
        <filter val="Falo' Stefano"/>
      </filters>
    </filterColumn>
  </autoFilter>
  <mergeCells count="1">
    <mergeCell ref="BB1:BE1"/>
  </mergeCells>
  <hyperlinks>
    <hyperlink ref="O16" r:id="rId1" xr:uid="{853C6430-0C77-416B-80B9-77CEA192E6BB}"/>
    <hyperlink ref="O17" r:id="rId2" xr:uid="{482A3F5D-80AE-420D-9E67-46DFC24CAEBA}"/>
    <hyperlink ref="O18" r:id="rId3" xr:uid="{F1FA35E2-C917-41AD-89E6-09C5AED81DC0}"/>
    <hyperlink ref="O4" r:id="rId4" xr:uid="{6AAA9A51-ED70-4114-AF75-B3101E7B3CB8}"/>
    <hyperlink ref="O10" r:id="rId5" xr:uid="{F557E4CF-44CD-4AC8-964A-06D3D5050562}"/>
    <hyperlink ref="O8" r:id="rId6" xr:uid="{06A9C9B6-B7D0-429B-8EDF-BAA76A916AD5}"/>
    <hyperlink ref="O11" r:id="rId7" xr:uid="{D820251A-C456-4C43-839D-C650DFE70B0B}"/>
    <hyperlink ref="O3" r:id="rId8" xr:uid="{672B0ADC-A40B-4834-93F5-1D236FB8260A}"/>
  </hyperlinks>
  <pageMargins left="0.7" right="0.7" top="0.75" bottom="0.75" header="0.3" footer="0.3"/>
  <pageSetup paperSize="9" orientation="portrait" r:id="rId9"/>
  <legacy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FF24-8CAD-4E6A-B57C-076E33A35493}">
  <sheetPr codeName="Foglio3"/>
  <dimension ref="B2:N27"/>
  <sheetViews>
    <sheetView zoomScale="90" zoomScaleNormal="90" workbookViewId="0">
      <selection activeCell="D25" sqref="D25"/>
    </sheetView>
  </sheetViews>
  <sheetFormatPr baseColWidth="10" defaultColWidth="8.83203125" defaultRowHeight="15" x14ac:dyDescent="0.2"/>
  <cols>
    <col min="1" max="1" width="4.83203125" style="1" customWidth="1"/>
    <col min="2" max="2" width="31" style="1" customWidth="1"/>
    <col min="3" max="3" width="17.1640625" style="1" customWidth="1"/>
    <col min="4" max="4" width="20.1640625" style="1" customWidth="1"/>
    <col min="5" max="5" width="16.33203125" style="1" customWidth="1"/>
    <col min="6" max="6" width="14.83203125" style="1" customWidth="1"/>
    <col min="7" max="7" width="5.1640625" style="1" customWidth="1"/>
    <col min="8" max="10" width="15.5" style="1" customWidth="1"/>
    <col min="11" max="11" width="4.6640625" style="1" customWidth="1"/>
    <col min="12" max="12" width="21.83203125" style="1" customWidth="1"/>
    <col min="13" max="13" width="20.5" style="1" bestFit="1" customWidth="1"/>
    <col min="14" max="14" width="5" style="1" customWidth="1"/>
    <col min="15" max="16384" width="8.83203125" style="1"/>
  </cols>
  <sheetData>
    <row r="2" spans="2:14" x14ac:dyDescent="0.2">
      <c r="B2" s="593" t="s">
        <v>117</v>
      </c>
      <c r="C2" s="593"/>
      <c r="D2" s="593"/>
      <c r="E2" s="593"/>
      <c r="F2" s="593"/>
      <c r="H2" s="590" t="s">
        <v>125</v>
      </c>
      <c r="I2" s="590"/>
      <c r="J2" s="590"/>
      <c r="L2" s="594" t="s">
        <v>156</v>
      </c>
      <c r="M2" s="594"/>
    </row>
    <row r="3" spans="2:14" x14ac:dyDescent="0.2">
      <c r="B3" s="15" t="s">
        <v>121</v>
      </c>
      <c r="C3" s="15" t="s">
        <v>122</v>
      </c>
      <c r="D3" s="15" t="s">
        <v>123</v>
      </c>
      <c r="E3" s="15" t="s">
        <v>124</v>
      </c>
      <c r="F3" s="15" t="s">
        <v>119</v>
      </c>
      <c r="H3" s="15" t="s">
        <v>126</v>
      </c>
      <c r="I3" s="15" t="s">
        <v>118</v>
      </c>
      <c r="J3" s="15" t="s">
        <v>73</v>
      </c>
      <c r="L3" s="15" t="s">
        <v>155</v>
      </c>
      <c r="M3" s="15" t="s">
        <v>124</v>
      </c>
    </row>
    <row r="4" spans="2:14" x14ac:dyDescent="0.2">
      <c r="B4" s="51" t="s">
        <v>180</v>
      </c>
      <c r="C4" s="55"/>
      <c r="D4" s="56"/>
      <c r="E4" s="52"/>
      <c r="F4" s="54"/>
      <c r="H4" s="53">
        <f>SUMIFS(MEV!M:M,MEV!AK:AK,"Logica Informatica S.r.L.",MEV!L:L,"Approvato")</f>
        <v>0</v>
      </c>
      <c r="I4" s="52">
        <f>D26</f>
        <v>0</v>
      </c>
      <c r="J4" s="54">
        <f>H4+I4</f>
        <v>0</v>
      </c>
      <c r="L4" s="51" t="s">
        <v>158</v>
      </c>
      <c r="M4" s="54">
        <v>220</v>
      </c>
      <c r="N4" s="13"/>
    </row>
    <row r="5" spans="2:14" x14ac:dyDescent="0.2">
      <c r="B5" s="18" t="s">
        <v>166</v>
      </c>
      <c r="C5" s="57"/>
      <c r="D5" s="58"/>
      <c r="E5" s="25"/>
      <c r="F5" s="26"/>
      <c r="H5" s="50">
        <f>SUMIFS(MEV!M:M,MEV!AK:AK,"Levia HUB S.p.A.",MEV!L:L,"Approvato")</f>
        <v>82448.460000000006</v>
      </c>
      <c r="I5" s="25">
        <v>0</v>
      </c>
      <c r="J5" s="54">
        <f t="shared" ref="J5:J6" si="0">H5+I5</f>
        <v>82448.460000000006</v>
      </c>
      <c r="L5" s="18"/>
      <c r="M5" s="54">
        <v>0</v>
      </c>
    </row>
    <row r="6" spans="2:14" x14ac:dyDescent="0.2">
      <c r="B6" s="18" t="s">
        <v>181</v>
      </c>
      <c r="C6" s="57"/>
      <c r="D6" s="58"/>
      <c r="E6" s="25"/>
      <c r="F6" s="26"/>
      <c r="H6" s="50">
        <f>SUMIFS(MEV!M:M,MEV!AK:AK,"GPA Gruppo Progetti Avanzati SRL",MEV!L:L,"Approvato")</f>
        <v>0</v>
      </c>
      <c r="I6" s="25">
        <v>0</v>
      </c>
      <c r="J6" s="54">
        <f t="shared" si="0"/>
        <v>0</v>
      </c>
      <c r="L6" s="18"/>
      <c r="M6" s="54">
        <v>0</v>
      </c>
    </row>
    <row r="7" spans="2:14" x14ac:dyDescent="0.2">
      <c r="B7" s="128" t="s">
        <v>179</v>
      </c>
      <c r="C7" s="129"/>
      <c r="D7" s="130"/>
      <c r="E7" s="131"/>
      <c r="F7" s="132"/>
      <c r="H7" s="133"/>
      <c r="I7" s="131"/>
      <c r="J7" s="134"/>
      <c r="L7" s="128"/>
      <c r="M7" s="134"/>
    </row>
    <row r="8" spans="2:14" ht="16" thickBot="1" x14ac:dyDescent="0.25">
      <c r="B8" s="20"/>
      <c r="C8" s="59"/>
      <c r="D8" s="60"/>
      <c r="E8" s="27"/>
      <c r="F8" s="28"/>
      <c r="H8" s="62"/>
      <c r="I8" s="27"/>
      <c r="J8" s="28"/>
      <c r="L8" s="20"/>
      <c r="M8" s="28">
        <v>0</v>
      </c>
    </row>
    <row r="9" spans="2:14" ht="17" thickTop="1" thickBot="1" x14ac:dyDescent="0.25">
      <c r="B9" s="22" t="s">
        <v>73</v>
      </c>
      <c r="C9" s="29"/>
      <c r="D9" s="23"/>
      <c r="E9" s="29">
        <f>SUM(E4:E8)</f>
        <v>0</v>
      </c>
      <c r="F9" s="29">
        <f>SUM(F4:F8)</f>
        <v>0</v>
      </c>
      <c r="H9" s="29">
        <f>SUM(H4:H8)</f>
        <v>82448.460000000006</v>
      </c>
      <c r="I9" s="29">
        <f>SUM(I4:I8)</f>
        <v>0</v>
      </c>
      <c r="J9" s="29">
        <f>SUM(J4:J8)</f>
        <v>82448.460000000006</v>
      </c>
      <c r="L9" s="22"/>
      <c r="M9" s="29">
        <f>SUM(M4:M8)</f>
        <v>220</v>
      </c>
    </row>
    <row r="10" spans="2:14" ht="16" thickTop="1" x14ac:dyDescent="0.2">
      <c r="C10" s="47"/>
      <c r="H10" s="47"/>
      <c r="I10" s="47"/>
      <c r="J10" s="47"/>
      <c r="M10" s="47"/>
    </row>
    <row r="12" spans="2:14" x14ac:dyDescent="0.2">
      <c r="B12" s="595" t="s">
        <v>159</v>
      </c>
      <c r="C12" s="595"/>
      <c r="D12" s="595"/>
    </row>
    <row r="13" spans="2:14" ht="16" x14ac:dyDescent="0.2">
      <c r="B13" s="30" t="s">
        <v>157</v>
      </c>
      <c r="C13" s="64" t="s">
        <v>154</v>
      </c>
      <c r="D13" s="65" t="s">
        <v>124</v>
      </c>
    </row>
    <row r="14" spans="2:14" x14ac:dyDescent="0.2">
      <c r="B14" s="31" t="s">
        <v>74</v>
      </c>
      <c r="C14" s="19"/>
      <c r="D14" s="48">
        <f>C14*$M$4</f>
        <v>0</v>
      </c>
    </row>
    <row r="15" spans="2:14" x14ac:dyDescent="0.2">
      <c r="B15" s="35" t="s">
        <v>75</v>
      </c>
      <c r="C15" s="66"/>
      <c r="D15" s="67">
        <f t="shared" ref="D15:D25" si="1">C15*$M$4</f>
        <v>0</v>
      </c>
    </row>
    <row r="16" spans="2:14" x14ac:dyDescent="0.2">
      <c r="B16" s="31" t="s">
        <v>76</v>
      </c>
      <c r="C16" s="19"/>
      <c r="D16" s="48">
        <f t="shared" si="1"/>
        <v>0</v>
      </c>
    </row>
    <row r="17" spans="2:4" x14ac:dyDescent="0.2">
      <c r="B17" s="35" t="s">
        <v>77</v>
      </c>
      <c r="C17" s="66"/>
      <c r="D17" s="67">
        <f t="shared" si="1"/>
        <v>0</v>
      </c>
    </row>
    <row r="18" spans="2:4" x14ac:dyDescent="0.2">
      <c r="B18" s="31" t="s">
        <v>78</v>
      </c>
      <c r="C18" s="19"/>
      <c r="D18" s="48">
        <f t="shared" si="1"/>
        <v>0</v>
      </c>
    </row>
    <row r="19" spans="2:4" x14ac:dyDescent="0.2">
      <c r="B19" s="35" t="s">
        <v>79</v>
      </c>
      <c r="C19" s="66"/>
      <c r="D19" s="67">
        <f t="shared" si="1"/>
        <v>0</v>
      </c>
    </row>
    <row r="20" spans="2:4" x14ac:dyDescent="0.2">
      <c r="B20" s="31" t="s">
        <v>80</v>
      </c>
      <c r="C20" s="19"/>
      <c r="D20" s="48">
        <f t="shared" si="1"/>
        <v>0</v>
      </c>
    </row>
    <row r="21" spans="2:4" x14ac:dyDescent="0.2">
      <c r="B21" s="35" t="s">
        <v>81</v>
      </c>
      <c r="C21" s="66"/>
      <c r="D21" s="67">
        <f t="shared" si="1"/>
        <v>0</v>
      </c>
    </row>
    <row r="22" spans="2:4" x14ac:dyDescent="0.2">
      <c r="B22" s="31" t="s">
        <v>82</v>
      </c>
      <c r="C22" s="19"/>
      <c r="D22" s="48">
        <f t="shared" si="1"/>
        <v>0</v>
      </c>
    </row>
    <row r="23" spans="2:4" x14ac:dyDescent="0.2">
      <c r="B23" s="35" t="s">
        <v>83</v>
      </c>
      <c r="C23" s="66"/>
      <c r="D23" s="67">
        <f t="shared" si="1"/>
        <v>0</v>
      </c>
    </row>
    <row r="24" spans="2:4" x14ac:dyDescent="0.2">
      <c r="B24" s="31" t="s">
        <v>84</v>
      </c>
      <c r="C24" s="19"/>
      <c r="D24" s="48">
        <f t="shared" si="1"/>
        <v>0</v>
      </c>
    </row>
    <row r="25" spans="2:4" ht="16" thickBot="1" x14ac:dyDescent="0.25">
      <c r="B25" s="39" t="s">
        <v>85</v>
      </c>
      <c r="C25" s="68"/>
      <c r="D25" s="69">
        <f t="shared" si="1"/>
        <v>0</v>
      </c>
    </row>
    <row r="26" spans="2:4" ht="17" thickTop="1" thickBot="1" x14ac:dyDescent="0.25">
      <c r="B26" s="22" t="s">
        <v>73</v>
      </c>
      <c r="C26" s="23"/>
      <c r="D26" s="49">
        <f>SUM(D14:D25)</f>
        <v>0</v>
      </c>
    </row>
    <row r="27" spans="2:4" ht="16" thickTop="1" x14ac:dyDescent="0.2"/>
  </sheetData>
  <mergeCells count="4">
    <mergeCell ref="B2:F2"/>
    <mergeCell ref="H2:J2"/>
    <mergeCell ref="L2:M2"/>
    <mergeCell ref="B12:D1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544E69-9E12-4EC6-A136-EAA0F6BC568D}">
          <x14:formula1>
            <xm:f>TABELLE!$L$3:$L$6</xm:f>
          </x14:formula1>
          <xm:sqref>B4:B8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BCF7-E8AB-44AD-8FE9-B4EB360D82BA}">
  <sheetPr codeName="Foglio4"/>
  <dimension ref="B2:AH98"/>
  <sheetViews>
    <sheetView topLeftCell="A23" zoomScaleNormal="100" workbookViewId="0">
      <selection activeCell="E75" sqref="E75"/>
    </sheetView>
  </sheetViews>
  <sheetFormatPr baseColWidth="10" defaultColWidth="8.83203125" defaultRowHeight="15" x14ac:dyDescent="0.2"/>
  <cols>
    <col min="1" max="1" width="2.6640625" style="1" customWidth="1"/>
    <col min="2" max="3" width="14.83203125" style="1" customWidth="1"/>
    <col min="4" max="4" width="13.6640625" style="1" customWidth="1"/>
    <col min="5" max="7" width="14.83203125" style="1" customWidth="1"/>
    <col min="8" max="8" width="14.1640625" style="1" customWidth="1"/>
    <col min="9" max="11" width="14.83203125" style="1" customWidth="1"/>
    <col min="12" max="12" width="2.6640625" style="1" customWidth="1"/>
    <col min="13" max="13" width="15.6640625" style="1" customWidth="1"/>
    <col min="14" max="14" width="14.83203125" style="1" customWidth="1"/>
    <col min="15" max="15" width="13.1640625" style="1" customWidth="1"/>
    <col min="16" max="16" width="2.6640625" style="1" customWidth="1"/>
    <col min="17" max="17" width="11.83203125" style="1" customWidth="1"/>
    <col min="18" max="18" width="12.83203125" style="1" customWidth="1"/>
    <col min="19" max="19" width="14.83203125" style="1" customWidth="1"/>
    <col min="20" max="20" width="2.6640625" style="1" customWidth="1"/>
    <col min="21" max="21" width="8.83203125" style="1"/>
    <col min="22" max="22" width="8.83203125" style="1" bestFit="1" customWidth="1"/>
    <col min="23" max="23" width="12.83203125" style="1" bestFit="1" customWidth="1"/>
    <col min="24" max="24" width="63.1640625" style="1" bestFit="1" customWidth="1"/>
    <col min="25" max="25" width="9.1640625" style="1" bestFit="1" customWidth="1"/>
    <col min="26" max="26" width="9.83203125" style="1" bestFit="1" customWidth="1"/>
    <col min="27" max="27" width="10.83203125" style="1" bestFit="1" customWidth="1"/>
    <col min="28" max="28" width="9.5" style="1" bestFit="1" customWidth="1"/>
    <col min="29" max="29" width="8.83203125" style="1" bestFit="1" customWidth="1"/>
    <col min="30" max="31" width="9.5" style="1" bestFit="1" customWidth="1"/>
    <col min="32" max="32" width="8.83203125" style="1"/>
    <col min="33" max="33" width="13.1640625" style="1" customWidth="1"/>
    <col min="34" max="16384" width="8.83203125" style="1"/>
  </cols>
  <sheetData>
    <row r="2" spans="2:18" x14ac:dyDescent="0.2">
      <c r="B2" s="603" t="s">
        <v>689</v>
      </c>
      <c r="C2" s="598"/>
      <c r="D2" s="598"/>
      <c r="E2" s="598"/>
      <c r="F2" s="598"/>
      <c r="G2" s="598"/>
      <c r="H2" s="598"/>
      <c r="I2" s="598"/>
      <c r="J2" s="598"/>
      <c r="K2" s="599"/>
      <c r="M2" s="590" t="s">
        <v>682</v>
      </c>
      <c r="N2" s="590"/>
      <c r="O2" s="590"/>
    </row>
    <row r="3" spans="2:18" x14ac:dyDescent="0.2">
      <c r="B3" s="15" t="s">
        <v>104</v>
      </c>
      <c r="C3" s="15" t="s">
        <v>690</v>
      </c>
      <c r="D3" s="15" t="s">
        <v>90</v>
      </c>
      <c r="E3" s="15" t="s">
        <v>678</v>
      </c>
      <c r="F3" s="15" t="s">
        <v>96</v>
      </c>
      <c r="G3" s="15" t="s">
        <v>679</v>
      </c>
      <c r="H3" s="15" t="s">
        <v>86</v>
      </c>
      <c r="I3" s="15" t="s">
        <v>116</v>
      </c>
      <c r="J3" s="186" t="s">
        <v>680</v>
      </c>
      <c r="K3" s="186" t="s">
        <v>652</v>
      </c>
      <c r="M3" s="91" t="s">
        <v>128</v>
      </c>
      <c r="N3" s="91" t="s">
        <v>127</v>
      </c>
      <c r="O3" s="91" t="s">
        <v>107</v>
      </c>
    </row>
    <row r="4" spans="2:18" x14ac:dyDescent="0.2">
      <c r="B4" s="16" t="s">
        <v>623</v>
      </c>
      <c r="C4" s="17">
        <v>4490015980</v>
      </c>
      <c r="D4" s="183">
        <v>46036</v>
      </c>
      <c r="E4" s="196">
        <v>6873048.9500000002</v>
      </c>
      <c r="F4" s="197">
        <v>0</v>
      </c>
      <c r="G4" s="198">
        <f>E4*(1-F4)</f>
        <v>6873048.9500000002</v>
      </c>
      <c r="H4" s="198">
        <f>SUMIFS(CONTRATTO!I20:I60,C20:C60,"BASE")</f>
        <v>38658</v>
      </c>
      <c r="I4" s="198">
        <f>G4-H4</f>
        <v>6834390.9500000002</v>
      </c>
      <c r="J4" s="198">
        <f>SUMIFS(CONTRATTO!J20:J60,B20:B60,"BASE")</f>
        <v>0</v>
      </c>
      <c r="K4" s="24"/>
      <c r="M4" s="257"/>
      <c r="N4" s="94"/>
      <c r="O4" s="96"/>
    </row>
    <row r="5" spans="2:18" x14ac:dyDescent="0.2">
      <c r="B5" s="201" t="s">
        <v>202</v>
      </c>
      <c r="C5" s="202"/>
      <c r="D5" s="203"/>
      <c r="E5" s="204"/>
      <c r="F5" s="205">
        <v>0</v>
      </c>
      <c r="G5" s="206">
        <f t="shared" ref="G5:G15" si="0">E5*(1-F5)</f>
        <v>0</v>
      </c>
      <c r="H5" s="206">
        <f>SUMIFS(CONTRATTO!I20:I60,C20:C60,"QDO")</f>
        <v>0</v>
      </c>
      <c r="I5" s="206">
        <f t="shared" ref="I5:I15" si="1">G5-H5</f>
        <v>0</v>
      </c>
      <c r="J5" s="206">
        <f>SUMIFS(CONTRATTO!J20:J60,B20:B60,"QDO")</f>
        <v>0</v>
      </c>
      <c r="K5" s="207"/>
      <c r="M5" s="258"/>
      <c r="N5" s="102"/>
      <c r="O5" s="103"/>
    </row>
    <row r="6" spans="2:18" x14ac:dyDescent="0.2">
      <c r="B6" s="18" t="s">
        <v>203</v>
      </c>
      <c r="C6" s="19"/>
      <c r="D6" s="58"/>
      <c r="E6" s="199"/>
      <c r="F6" s="200">
        <v>0</v>
      </c>
      <c r="G6" s="25">
        <f t="shared" si="0"/>
        <v>0</v>
      </c>
      <c r="H6" s="25">
        <f>SUMIFS(CONTRATTO!I20:I60,C20:C60,"Proroga 1")</f>
        <v>0</v>
      </c>
      <c r="I6" s="25">
        <f t="shared" si="1"/>
        <v>0</v>
      </c>
      <c r="J6" s="25">
        <f>SUMIFS(CONTRATTO!J20:J60,B20:B60,"Proroga 1")</f>
        <v>0</v>
      </c>
      <c r="K6" s="26"/>
      <c r="M6" s="259"/>
      <c r="N6" s="95"/>
      <c r="O6" s="97"/>
    </row>
    <row r="7" spans="2:18" x14ac:dyDescent="0.2">
      <c r="B7" s="201" t="s">
        <v>204</v>
      </c>
      <c r="C7" s="202"/>
      <c r="D7" s="203"/>
      <c r="E7" s="204"/>
      <c r="F7" s="205">
        <v>0</v>
      </c>
      <c r="G7" s="206">
        <f t="shared" si="0"/>
        <v>0</v>
      </c>
      <c r="H7" s="206">
        <f>SUMIFS(CONTRATTO!I20:I60,C20:C60,"Proroga 2")</f>
        <v>0</v>
      </c>
      <c r="I7" s="206">
        <f t="shared" si="1"/>
        <v>0</v>
      </c>
      <c r="J7" s="206">
        <f>SUMIFS(CONTRATTO!J20:J60,B20:B60,"Proroga 2")</f>
        <v>0</v>
      </c>
      <c r="K7" s="207"/>
      <c r="M7" s="258"/>
      <c r="N7" s="102"/>
      <c r="O7" s="103"/>
    </row>
    <row r="8" spans="2:18" x14ac:dyDescent="0.2">
      <c r="B8" s="18" t="s">
        <v>205</v>
      </c>
      <c r="C8" s="19"/>
      <c r="D8" s="58"/>
      <c r="E8" s="199"/>
      <c r="F8" s="200">
        <v>0</v>
      </c>
      <c r="G8" s="25">
        <f t="shared" si="0"/>
        <v>0</v>
      </c>
      <c r="H8" s="25">
        <f>SUMIFS(CONTRATTO!I20:I60,C20:C60,"Proroga 3")</f>
        <v>0</v>
      </c>
      <c r="I8" s="25">
        <f t="shared" si="1"/>
        <v>0</v>
      </c>
      <c r="J8" s="25">
        <f>SUMIFS(CONTRATTO!J20:J60,B20:B60,"Proroga 3")</f>
        <v>0</v>
      </c>
      <c r="K8" s="26"/>
      <c r="M8" s="259"/>
      <c r="N8" s="95"/>
      <c r="O8" s="97"/>
    </row>
    <row r="9" spans="2:18" x14ac:dyDescent="0.2">
      <c r="B9" s="201" t="s">
        <v>206</v>
      </c>
      <c r="C9" s="202"/>
      <c r="D9" s="203"/>
      <c r="E9" s="204"/>
      <c r="F9" s="205">
        <v>0</v>
      </c>
      <c r="G9" s="206">
        <f t="shared" si="0"/>
        <v>0</v>
      </c>
      <c r="H9" s="206">
        <f>SUMIFS(CONTRATTO!I20:I60,C20:C60,"Proroga 4")</f>
        <v>0</v>
      </c>
      <c r="I9" s="206">
        <f t="shared" si="1"/>
        <v>0</v>
      </c>
      <c r="J9" s="206">
        <f>SUMIFS(CONTRATTO!J20:J60,B20:B60,"Proroga 4")</f>
        <v>0</v>
      </c>
      <c r="K9" s="207"/>
      <c r="M9" s="258"/>
      <c r="N9" s="102"/>
      <c r="O9" s="103"/>
    </row>
    <row r="10" spans="2:18" x14ac:dyDescent="0.2">
      <c r="B10" s="18" t="s">
        <v>207</v>
      </c>
      <c r="C10" s="19"/>
      <c r="D10" s="58"/>
      <c r="E10" s="199"/>
      <c r="F10" s="200">
        <v>0</v>
      </c>
      <c r="G10" s="25">
        <f t="shared" si="0"/>
        <v>0</v>
      </c>
      <c r="H10" s="25">
        <f>SUMIFS(CONTRATTO!I20:I60,C20:C60,"Proroga 5")</f>
        <v>0</v>
      </c>
      <c r="I10" s="25">
        <f t="shared" si="1"/>
        <v>0</v>
      </c>
      <c r="J10" s="25">
        <f>SUMIFS(CONTRATTO!J20:J60,B20:B60,"Proroga 5")</f>
        <v>0</v>
      </c>
      <c r="K10" s="26"/>
      <c r="M10" s="259"/>
      <c r="N10" s="95"/>
      <c r="O10" s="97"/>
      <c r="R10" s="13"/>
    </row>
    <row r="11" spans="2:18" x14ac:dyDescent="0.2">
      <c r="B11" s="201" t="s">
        <v>208</v>
      </c>
      <c r="C11" s="202"/>
      <c r="D11" s="203"/>
      <c r="E11" s="204"/>
      <c r="F11" s="205">
        <v>0</v>
      </c>
      <c r="G11" s="206">
        <f t="shared" si="0"/>
        <v>0</v>
      </c>
      <c r="H11" s="206">
        <f>SUMIFS(CONTRATTO!I20:I60,C20:C60,"Proroga 6")</f>
        <v>0</v>
      </c>
      <c r="I11" s="206">
        <f t="shared" si="1"/>
        <v>0</v>
      </c>
      <c r="J11" s="206">
        <f>SUMIFS(CONTRATTO!J20:J60,B20:B60,"Proroga 6")</f>
        <v>0</v>
      </c>
      <c r="K11" s="207"/>
      <c r="M11" s="258"/>
      <c r="N11" s="102"/>
      <c r="O11" s="103"/>
      <c r="R11" s="13"/>
    </row>
    <row r="12" spans="2:18" x14ac:dyDescent="0.2">
      <c r="B12" s="18" t="s">
        <v>624</v>
      </c>
      <c r="C12" s="19"/>
      <c r="D12" s="58"/>
      <c r="E12" s="199"/>
      <c r="F12" s="200">
        <v>0</v>
      </c>
      <c r="G12" s="25">
        <f t="shared" si="0"/>
        <v>0</v>
      </c>
      <c r="H12" s="25">
        <f>SUMIFS(CONTRATTO!I20:I60,C20:C60,"Proroga 7")</f>
        <v>0</v>
      </c>
      <c r="I12" s="25">
        <f t="shared" si="1"/>
        <v>0</v>
      </c>
      <c r="J12" s="25">
        <f>SUMIFS(CONTRATTO!J20:J60,B20:B60,"Proroga 7")</f>
        <v>0</v>
      </c>
      <c r="K12" s="26"/>
      <c r="M12" s="259"/>
      <c r="N12" s="95"/>
      <c r="O12" s="97"/>
    </row>
    <row r="13" spans="2:18" x14ac:dyDescent="0.2">
      <c r="B13" s="201" t="s">
        <v>625</v>
      </c>
      <c r="C13" s="202"/>
      <c r="D13" s="203"/>
      <c r="E13" s="204"/>
      <c r="F13" s="205">
        <v>0</v>
      </c>
      <c r="G13" s="206">
        <f t="shared" si="0"/>
        <v>0</v>
      </c>
      <c r="H13" s="206">
        <f>SUMIFS(CONTRATTO!I20:I60,C20:C60,"Proroga 8")</f>
        <v>0</v>
      </c>
      <c r="I13" s="206">
        <f t="shared" si="1"/>
        <v>0</v>
      </c>
      <c r="J13" s="206">
        <f>SUMIFS(CONTRATTO!J20:J60,B20:B60,"Proroga 8")</f>
        <v>0</v>
      </c>
      <c r="K13" s="207"/>
      <c r="M13" s="258"/>
      <c r="N13" s="102"/>
      <c r="O13" s="103"/>
    </row>
    <row r="14" spans="2:18" x14ac:dyDescent="0.2">
      <c r="B14" s="18" t="s">
        <v>626</v>
      </c>
      <c r="C14" s="19"/>
      <c r="D14" s="58"/>
      <c r="E14" s="199"/>
      <c r="F14" s="200">
        <v>0</v>
      </c>
      <c r="G14" s="25">
        <f t="shared" si="0"/>
        <v>0</v>
      </c>
      <c r="H14" s="25">
        <f>SUMIFS(CONTRATTO!I20:I60,C20:C60,"Proroga 9")</f>
        <v>0</v>
      </c>
      <c r="I14" s="25">
        <f t="shared" si="1"/>
        <v>0</v>
      </c>
      <c r="J14" s="25">
        <f>SUMIFS(CONTRATTO!J20:J60,B20:B60,"Proroga 9")</f>
        <v>0</v>
      </c>
      <c r="K14" s="26"/>
      <c r="M14" s="259"/>
      <c r="N14" s="95"/>
      <c r="O14" s="97"/>
    </row>
    <row r="15" spans="2:18" ht="16" thickBot="1" x14ac:dyDescent="0.25">
      <c r="B15" s="208" t="s">
        <v>627</v>
      </c>
      <c r="C15" s="209"/>
      <c r="D15" s="210"/>
      <c r="E15" s="211"/>
      <c r="F15" s="212">
        <v>0</v>
      </c>
      <c r="G15" s="213">
        <f t="shared" si="0"/>
        <v>0</v>
      </c>
      <c r="H15" s="213">
        <f>SUMIFS(CONTRATTO!I20:I60,C20:C60,"Proroga 10")</f>
        <v>0</v>
      </c>
      <c r="I15" s="213">
        <f t="shared" si="1"/>
        <v>0</v>
      </c>
      <c r="J15" s="213">
        <f>SUMIFS(CONTRATTO!J20:J60,B20:B60,"Proroga 10")</f>
        <v>0</v>
      </c>
      <c r="K15" s="214"/>
      <c r="M15" s="260"/>
      <c r="N15" s="104"/>
      <c r="O15" s="105"/>
    </row>
    <row r="16" spans="2:18" ht="17" thickTop="1" thickBot="1" x14ac:dyDescent="0.25">
      <c r="B16" s="22"/>
      <c r="C16" s="23"/>
      <c r="D16" s="23"/>
      <c r="E16" s="140">
        <f>SUM(E4:E15)</f>
        <v>6873048.9500000002</v>
      </c>
      <c r="F16" s="139"/>
      <c r="G16" s="29">
        <f t="shared" ref="G16:H16" si="2">SUM(G4:G15)</f>
        <v>6873048.9500000002</v>
      </c>
      <c r="H16" s="29">
        <f t="shared" si="2"/>
        <v>38658</v>
      </c>
      <c r="I16" s="29">
        <f>SUM(I4:I15)</f>
        <v>6834390.9500000002</v>
      </c>
      <c r="J16" s="29"/>
      <c r="K16" s="29"/>
    </row>
    <row r="17" spans="2:19" ht="16" thickTop="1" x14ac:dyDescent="0.2"/>
    <row r="18" spans="2:19" x14ac:dyDescent="0.2">
      <c r="B18" s="604" t="s">
        <v>685</v>
      </c>
      <c r="C18" s="605"/>
      <c r="D18" s="605"/>
      <c r="E18" s="605"/>
      <c r="F18" s="605"/>
      <c r="G18" s="605"/>
      <c r="H18" s="605"/>
      <c r="I18" s="605"/>
      <c r="J18" s="605"/>
      <c r="K18" s="606"/>
      <c r="M18" s="592" t="s">
        <v>696</v>
      </c>
      <c r="N18" s="592"/>
      <c r="O18" s="592"/>
      <c r="P18" s="143"/>
      <c r="Q18" s="600" t="s">
        <v>697</v>
      </c>
      <c r="R18" s="601"/>
      <c r="S18" s="602"/>
    </row>
    <row r="19" spans="2:19" x14ac:dyDescent="0.2">
      <c r="B19" s="178" t="s">
        <v>647</v>
      </c>
      <c r="C19" s="396" t="s">
        <v>622</v>
      </c>
      <c r="D19" s="178" t="s">
        <v>90</v>
      </c>
      <c r="E19" s="178" t="s">
        <v>646</v>
      </c>
      <c r="F19" s="178" t="s">
        <v>633</v>
      </c>
      <c r="G19" s="178" t="s">
        <v>687</v>
      </c>
      <c r="H19" s="178" t="s">
        <v>688</v>
      </c>
      <c r="I19" s="178" t="s">
        <v>97</v>
      </c>
      <c r="J19" s="178" t="s">
        <v>680</v>
      </c>
      <c r="K19" s="178" t="s">
        <v>652</v>
      </c>
      <c r="M19" s="178" t="s">
        <v>648</v>
      </c>
      <c r="N19" s="178" t="s">
        <v>97</v>
      </c>
      <c r="O19" s="178" t="s">
        <v>649</v>
      </c>
      <c r="P19" s="143"/>
      <c r="Q19" s="178" t="s">
        <v>650</v>
      </c>
      <c r="R19" s="178" t="s">
        <v>90</v>
      </c>
      <c r="S19" s="178" t="s">
        <v>97</v>
      </c>
    </row>
    <row r="20" spans="2:19" x14ac:dyDescent="0.2">
      <c r="B20" s="185">
        <v>4100689952</v>
      </c>
      <c r="C20" s="218" t="s">
        <v>623</v>
      </c>
      <c r="D20" s="219">
        <v>46091</v>
      </c>
      <c r="E20" s="461" t="s">
        <v>932</v>
      </c>
      <c r="F20" s="220" t="s">
        <v>937</v>
      </c>
      <c r="G20" s="220" t="s">
        <v>120</v>
      </c>
      <c r="H20" s="220" t="s">
        <v>933</v>
      </c>
      <c r="I20" s="221">
        <v>38658</v>
      </c>
      <c r="J20" s="221"/>
      <c r="K20" s="222"/>
      <c r="M20" s="216">
        <v>46113</v>
      </c>
      <c r="N20" s="176">
        <v>19329</v>
      </c>
      <c r="O20" s="217">
        <v>4100689952</v>
      </c>
      <c r="P20" s="143"/>
      <c r="Q20" s="556" t="s">
        <v>1020</v>
      </c>
      <c r="R20" s="175">
        <v>46141</v>
      </c>
      <c r="S20" s="215">
        <v>19329</v>
      </c>
    </row>
    <row r="21" spans="2:19" x14ac:dyDescent="0.2">
      <c r="B21" s="223"/>
      <c r="C21" s="224"/>
      <c r="D21" s="225"/>
      <c r="E21" s="225"/>
      <c r="F21" s="225"/>
      <c r="G21" s="225"/>
      <c r="H21" s="228"/>
      <c r="I21" s="226"/>
      <c r="J21" s="226"/>
      <c r="K21" s="227"/>
      <c r="M21" s="397"/>
      <c r="N21" s="226"/>
      <c r="O21" s="398"/>
      <c r="P21" s="143"/>
      <c r="Q21" s="399"/>
      <c r="R21" s="225"/>
      <c r="S21" s="227"/>
    </row>
    <row r="22" spans="2:19" x14ac:dyDescent="0.2">
      <c r="B22" s="187"/>
      <c r="C22" s="169"/>
      <c r="D22" s="170"/>
      <c r="E22" s="170"/>
      <c r="F22" s="170"/>
      <c r="G22" s="170"/>
      <c r="H22" s="170"/>
      <c r="I22" s="171"/>
      <c r="J22" s="171"/>
      <c r="K22" s="188"/>
      <c r="M22" s="189"/>
      <c r="N22" s="172"/>
      <c r="O22" s="190"/>
      <c r="P22" s="143"/>
      <c r="Q22" s="191"/>
      <c r="R22" s="170"/>
      <c r="S22" s="192"/>
    </row>
    <row r="23" spans="2:19" x14ac:dyDescent="0.2">
      <c r="B23" s="223"/>
      <c r="C23" s="224"/>
      <c r="D23" s="225"/>
      <c r="E23" s="225"/>
      <c r="F23" s="225"/>
      <c r="G23" s="225"/>
      <c r="H23" s="225"/>
      <c r="I23" s="226"/>
      <c r="J23" s="226"/>
      <c r="K23" s="227"/>
      <c r="M23" s="397"/>
      <c r="N23" s="400"/>
      <c r="O23" s="398"/>
      <c r="P23" s="143"/>
      <c r="Q23" s="399"/>
      <c r="R23" s="225"/>
      <c r="S23" s="401"/>
    </row>
    <row r="24" spans="2:19" x14ac:dyDescent="0.2">
      <c r="B24" s="187"/>
      <c r="C24" s="169"/>
      <c r="D24" s="170"/>
      <c r="E24" s="170"/>
      <c r="F24" s="170"/>
      <c r="G24" s="170"/>
      <c r="H24" s="170"/>
      <c r="I24" s="171"/>
      <c r="J24" s="171"/>
      <c r="K24" s="188"/>
      <c r="M24" s="189"/>
      <c r="N24" s="172"/>
      <c r="O24" s="190"/>
      <c r="P24" s="143"/>
      <c r="Q24" s="191"/>
      <c r="R24" s="170"/>
      <c r="S24" s="192"/>
    </row>
    <row r="25" spans="2:19" hidden="1" x14ac:dyDescent="0.2">
      <c r="B25" s="223"/>
      <c r="C25" s="224"/>
      <c r="D25" s="225"/>
      <c r="E25" s="225"/>
      <c r="F25" s="225"/>
      <c r="G25" s="225"/>
      <c r="H25" s="225"/>
      <c r="I25" s="226"/>
      <c r="J25" s="226"/>
      <c r="K25" s="227"/>
      <c r="M25" s="397"/>
      <c r="N25" s="400"/>
      <c r="O25" s="398"/>
      <c r="P25" s="143"/>
      <c r="Q25" s="399"/>
      <c r="R25" s="225"/>
      <c r="S25" s="401"/>
    </row>
    <row r="26" spans="2:19" hidden="1" x14ac:dyDescent="0.2">
      <c r="B26" s="187"/>
      <c r="C26" s="169"/>
      <c r="D26" s="170"/>
      <c r="E26" s="170"/>
      <c r="F26" s="170"/>
      <c r="G26" s="170"/>
      <c r="H26" s="170"/>
      <c r="I26" s="171"/>
      <c r="J26" s="171"/>
      <c r="K26" s="188"/>
      <c r="M26" s="189"/>
      <c r="N26" s="172"/>
      <c r="O26" s="190"/>
      <c r="P26" s="143"/>
      <c r="Q26" s="191"/>
      <c r="R26" s="170"/>
      <c r="S26" s="192"/>
    </row>
    <row r="27" spans="2:19" hidden="1" x14ac:dyDescent="0.2">
      <c r="B27" s="223"/>
      <c r="C27" s="224"/>
      <c r="D27" s="225"/>
      <c r="E27" s="225"/>
      <c r="F27" s="225"/>
      <c r="G27" s="225"/>
      <c r="H27" s="225"/>
      <c r="I27" s="226"/>
      <c r="J27" s="226"/>
      <c r="K27" s="227"/>
      <c r="M27" s="397"/>
      <c r="N27" s="400"/>
      <c r="O27" s="398"/>
      <c r="P27" s="143"/>
      <c r="Q27" s="399"/>
      <c r="R27" s="225"/>
      <c r="S27" s="401"/>
    </row>
    <row r="28" spans="2:19" hidden="1" x14ac:dyDescent="0.2">
      <c r="B28" s="187"/>
      <c r="C28" s="169"/>
      <c r="D28" s="170"/>
      <c r="E28" s="170"/>
      <c r="F28" s="170"/>
      <c r="G28" s="170"/>
      <c r="H28" s="170"/>
      <c r="I28" s="171"/>
      <c r="J28" s="171"/>
      <c r="K28" s="188"/>
      <c r="M28" s="189"/>
      <c r="N28" s="172"/>
      <c r="O28" s="190"/>
      <c r="P28" s="143"/>
      <c r="Q28" s="191"/>
      <c r="R28" s="170"/>
      <c r="S28" s="192"/>
    </row>
    <row r="29" spans="2:19" hidden="1" x14ac:dyDescent="0.2">
      <c r="B29" s="223"/>
      <c r="C29" s="224"/>
      <c r="D29" s="225"/>
      <c r="E29" s="225"/>
      <c r="F29" s="225"/>
      <c r="G29" s="225"/>
      <c r="H29" s="225"/>
      <c r="I29" s="226"/>
      <c r="J29" s="226"/>
      <c r="K29" s="227"/>
      <c r="M29" s="397"/>
      <c r="N29" s="400"/>
      <c r="O29" s="398"/>
      <c r="P29" s="143"/>
      <c r="Q29" s="399"/>
      <c r="R29" s="225"/>
      <c r="S29" s="401"/>
    </row>
    <row r="30" spans="2:19" hidden="1" x14ac:dyDescent="0.2">
      <c r="B30" s="187"/>
      <c r="C30" s="169"/>
      <c r="D30" s="170"/>
      <c r="E30" s="170"/>
      <c r="F30" s="170"/>
      <c r="G30" s="170"/>
      <c r="H30" s="170"/>
      <c r="I30" s="171"/>
      <c r="J30" s="171"/>
      <c r="K30" s="188"/>
      <c r="M30" s="189"/>
      <c r="N30" s="172"/>
      <c r="O30" s="190"/>
      <c r="P30" s="143"/>
      <c r="Q30" s="191"/>
      <c r="R30" s="170"/>
      <c r="S30" s="192"/>
    </row>
    <row r="31" spans="2:19" hidden="1" x14ac:dyDescent="0.2">
      <c r="B31" s="223"/>
      <c r="C31" s="224"/>
      <c r="D31" s="225"/>
      <c r="E31" s="225"/>
      <c r="F31" s="225"/>
      <c r="G31" s="225"/>
      <c r="H31" s="225"/>
      <c r="I31" s="226"/>
      <c r="J31" s="226"/>
      <c r="K31" s="227"/>
      <c r="M31" s="397"/>
      <c r="N31" s="400"/>
      <c r="O31" s="398"/>
      <c r="P31" s="143"/>
      <c r="Q31" s="399"/>
      <c r="R31" s="225"/>
      <c r="S31" s="401"/>
    </row>
    <row r="32" spans="2:19" hidden="1" x14ac:dyDescent="0.2">
      <c r="B32" s="187"/>
      <c r="C32" s="169"/>
      <c r="D32" s="170"/>
      <c r="E32" s="170"/>
      <c r="F32" s="170"/>
      <c r="G32" s="170"/>
      <c r="H32" s="170"/>
      <c r="I32" s="171"/>
      <c r="J32" s="171"/>
      <c r="K32" s="188"/>
      <c r="M32" s="189"/>
      <c r="N32" s="172"/>
      <c r="O32" s="190"/>
      <c r="P32" s="143"/>
      <c r="Q32" s="191"/>
      <c r="R32" s="170"/>
      <c r="S32" s="192"/>
    </row>
    <row r="33" spans="2:19" hidden="1" x14ac:dyDescent="0.2">
      <c r="B33" s="223"/>
      <c r="C33" s="224"/>
      <c r="D33" s="225"/>
      <c r="E33" s="225"/>
      <c r="F33" s="225"/>
      <c r="G33" s="225"/>
      <c r="H33" s="225"/>
      <c r="I33" s="226"/>
      <c r="J33" s="226"/>
      <c r="K33" s="227"/>
      <c r="M33" s="397"/>
      <c r="N33" s="400"/>
      <c r="O33" s="398"/>
      <c r="P33" s="143"/>
      <c r="Q33" s="399"/>
      <c r="R33" s="225"/>
      <c r="S33" s="401"/>
    </row>
    <row r="34" spans="2:19" hidden="1" x14ac:dyDescent="0.2">
      <c r="B34" s="187"/>
      <c r="C34" s="169"/>
      <c r="D34" s="170"/>
      <c r="E34" s="170"/>
      <c r="F34" s="170"/>
      <c r="G34" s="170"/>
      <c r="H34" s="170"/>
      <c r="I34" s="171"/>
      <c r="J34" s="171"/>
      <c r="K34" s="188"/>
      <c r="M34" s="189"/>
      <c r="N34" s="172"/>
      <c r="O34" s="190"/>
      <c r="P34" s="143"/>
      <c r="Q34" s="191"/>
      <c r="R34" s="170"/>
      <c r="S34" s="192"/>
    </row>
    <row r="35" spans="2:19" hidden="1" x14ac:dyDescent="0.2">
      <c r="B35" s="223"/>
      <c r="C35" s="224"/>
      <c r="D35" s="225"/>
      <c r="E35" s="225"/>
      <c r="F35" s="225"/>
      <c r="G35" s="225"/>
      <c r="H35" s="225"/>
      <c r="I35" s="226"/>
      <c r="J35" s="226"/>
      <c r="K35" s="227"/>
      <c r="M35" s="397"/>
      <c r="N35" s="400"/>
      <c r="O35" s="398"/>
      <c r="P35" s="143"/>
      <c r="Q35" s="399"/>
      <c r="R35" s="225"/>
      <c r="S35" s="401"/>
    </row>
    <row r="36" spans="2:19" hidden="1" x14ac:dyDescent="0.2">
      <c r="B36" s="187"/>
      <c r="C36" s="169"/>
      <c r="D36" s="170"/>
      <c r="E36" s="170"/>
      <c r="F36" s="170"/>
      <c r="G36" s="170"/>
      <c r="H36" s="170"/>
      <c r="I36" s="171"/>
      <c r="J36" s="171"/>
      <c r="K36" s="188"/>
      <c r="M36" s="189"/>
      <c r="N36" s="172"/>
      <c r="O36" s="190"/>
      <c r="P36" s="143"/>
      <c r="Q36" s="191"/>
      <c r="R36" s="170"/>
      <c r="S36" s="192"/>
    </row>
    <row r="37" spans="2:19" hidden="1" x14ac:dyDescent="0.2">
      <c r="B37" s="223"/>
      <c r="C37" s="224"/>
      <c r="D37" s="225"/>
      <c r="E37" s="225"/>
      <c r="F37" s="225"/>
      <c r="G37" s="225"/>
      <c r="H37" s="225"/>
      <c r="I37" s="226"/>
      <c r="J37" s="226"/>
      <c r="K37" s="227"/>
      <c r="M37" s="397"/>
      <c r="N37" s="400"/>
      <c r="O37" s="398"/>
      <c r="P37" s="143"/>
      <c r="Q37" s="399"/>
      <c r="R37" s="225"/>
      <c r="S37" s="401"/>
    </row>
    <row r="38" spans="2:19" hidden="1" x14ac:dyDescent="0.2">
      <c r="B38" s="187"/>
      <c r="C38" s="169"/>
      <c r="D38" s="170"/>
      <c r="E38" s="170"/>
      <c r="F38" s="170"/>
      <c r="G38" s="170"/>
      <c r="H38" s="170"/>
      <c r="I38" s="171"/>
      <c r="J38" s="171"/>
      <c r="K38" s="188"/>
      <c r="M38" s="189"/>
      <c r="N38" s="172"/>
      <c r="O38" s="190"/>
      <c r="P38" s="143"/>
      <c r="Q38" s="191"/>
      <c r="R38" s="170"/>
      <c r="S38" s="192"/>
    </row>
    <row r="39" spans="2:19" hidden="1" x14ac:dyDescent="0.2">
      <c r="B39" s="223"/>
      <c r="C39" s="224"/>
      <c r="D39" s="225"/>
      <c r="E39" s="225"/>
      <c r="F39" s="225"/>
      <c r="G39" s="225"/>
      <c r="H39" s="225"/>
      <c r="I39" s="226"/>
      <c r="J39" s="226"/>
      <c r="K39" s="227"/>
      <c r="M39" s="397"/>
      <c r="N39" s="400"/>
      <c r="O39" s="398"/>
      <c r="P39" s="143"/>
      <c r="Q39" s="399"/>
      <c r="R39" s="225"/>
      <c r="S39" s="401"/>
    </row>
    <row r="40" spans="2:19" hidden="1" x14ac:dyDescent="0.2">
      <c r="B40" s="187"/>
      <c r="C40" s="169"/>
      <c r="D40" s="170"/>
      <c r="E40" s="170"/>
      <c r="F40" s="170"/>
      <c r="G40" s="170"/>
      <c r="H40" s="170"/>
      <c r="I40" s="171"/>
      <c r="J40" s="171"/>
      <c r="K40" s="188"/>
      <c r="M40" s="189"/>
      <c r="N40" s="172"/>
      <c r="O40" s="190"/>
      <c r="P40" s="143"/>
      <c r="Q40" s="191"/>
      <c r="R40" s="170"/>
      <c r="S40" s="192"/>
    </row>
    <row r="41" spans="2:19" hidden="1" x14ac:dyDescent="0.2">
      <c r="B41" s="223"/>
      <c r="C41" s="224"/>
      <c r="D41" s="225"/>
      <c r="E41" s="225"/>
      <c r="F41" s="225"/>
      <c r="G41" s="225"/>
      <c r="H41" s="225"/>
      <c r="I41" s="226"/>
      <c r="J41" s="226"/>
      <c r="K41" s="227"/>
      <c r="M41" s="397"/>
      <c r="N41" s="400"/>
      <c r="O41" s="398"/>
      <c r="P41" s="143"/>
      <c r="Q41" s="399"/>
      <c r="R41" s="225"/>
      <c r="S41" s="401"/>
    </row>
    <row r="42" spans="2:19" hidden="1" x14ac:dyDescent="0.2">
      <c r="B42" s="187"/>
      <c r="C42" s="169"/>
      <c r="D42" s="170"/>
      <c r="E42" s="170"/>
      <c r="F42" s="170"/>
      <c r="G42" s="170"/>
      <c r="H42" s="170"/>
      <c r="I42" s="171"/>
      <c r="J42" s="171"/>
      <c r="K42" s="188"/>
      <c r="M42" s="189"/>
      <c r="N42" s="172"/>
      <c r="O42" s="190"/>
      <c r="P42" s="143"/>
      <c r="Q42" s="191"/>
      <c r="R42" s="170"/>
      <c r="S42" s="192"/>
    </row>
    <row r="43" spans="2:19" hidden="1" x14ac:dyDescent="0.2">
      <c r="B43" s="223"/>
      <c r="C43" s="224"/>
      <c r="D43" s="225"/>
      <c r="E43" s="225"/>
      <c r="F43" s="225"/>
      <c r="G43" s="225"/>
      <c r="H43" s="225"/>
      <c r="I43" s="226"/>
      <c r="J43" s="226"/>
      <c r="K43" s="227"/>
      <c r="M43" s="397"/>
      <c r="N43" s="400"/>
      <c r="O43" s="398"/>
      <c r="P43" s="143"/>
      <c r="Q43" s="399"/>
      <c r="R43" s="225"/>
      <c r="S43" s="401"/>
    </row>
    <row r="44" spans="2:19" hidden="1" x14ac:dyDescent="0.2">
      <c r="B44" s="187"/>
      <c r="C44" s="169"/>
      <c r="D44" s="170"/>
      <c r="E44" s="170"/>
      <c r="F44" s="170"/>
      <c r="G44" s="170"/>
      <c r="H44" s="170"/>
      <c r="I44" s="171"/>
      <c r="J44" s="171"/>
      <c r="K44" s="188"/>
      <c r="M44" s="189"/>
      <c r="N44" s="172"/>
      <c r="O44" s="190"/>
      <c r="P44" s="143"/>
      <c r="Q44" s="191"/>
      <c r="R44" s="170"/>
      <c r="S44" s="192"/>
    </row>
    <row r="45" spans="2:19" hidden="1" x14ac:dyDescent="0.2">
      <c r="B45" s="223"/>
      <c r="C45" s="224"/>
      <c r="D45" s="225"/>
      <c r="E45" s="225"/>
      <c r="F45" s="225"/>
      <c r="G45" s="225"/>
      <c r="H45" s="225"/>
      <c r="I45" s="226"/>
      <c r="J45" s="226"/>
      <c r="K45" s="227"/>
      <c r="M45" s="397"/>
      <c r="N45" s="400"/>
      <c r="O45" s="398"/>
      <c r="P45" s="143"/>
      <c r="Q45" s="399"/>
      <c r="R45" s="225"/>
      <c r="S45" s="401"/>
    </row>
    <row r="46" spans="2:19" hidden="1" x14ac:dyDescent="0.2">
      <c r="B46" s="187"/>
      <c r="C46" s="169"/>
      <c r="D46" s="170"/>
      <c r="E46" s="170"/>
      <c r="F46" s="170"/>
      <c r="G46" s="170"/>
      <c r="H46" s="170"/>
      <c r="I46" s="171"/>
      <c r="J46" s="171"/>
      <c r="K46" s="188"/>
      <c r="M46" s="189"/>
      <c r="N46" s="172"/>
      <c r="O46" s="190"/>
      <c r="P46" s="143"/>
      <c r="Q46" s="191"/>
      <c r="R46" s="170"/>
      <c r="S46" s="192"/>
    </row>
    <row r="47" spans="2:19" hidden="1" x14ac:dyDescent="0.2">
      <c r="B47" s="223"/>
      <c r="C47" s="224"/>
      <c r="D47" s="225"/>
      <c r="E47" s="225"/>
      <c r="F47" s="225"/>
      <c r="G47" s="225"/>
      <c r="H47" s="225"/>
      <c r="I47" s="226"/>
      <c r="J47" s="226"/>
      <c r="K47" s="227"/>
      <c r="M47" s="397"/>
      <c r="N47" s="400"/>
      <c r="O47" s="398"/>
      <c r="P47" s="143"/>
      <c r="Q47" s="399"/>
      <c r="R47" s="225"/>
      <c r="S47" s="401"/>
    </row>
    <row r="48" spans="2:19" hidden="1" x14ac:dyDescent="0.2">
      <c r="B48" s="187"/>
      <c r="C48" s="169"/>
      <c r="D48" s="170"/>
      <c r="E48" s="170"/>
      <c r="F48" s="170"/>
      <c r="G48" s="170"/>
      <c r="H48" s="170"/>
      <c r="I48" s="171"/>
      <c r="J48" s="171"/>
      <c r="K48" s="188"/>
      <c r="M48" s="189"/>
      <c r="N48" s="172"/>
      <c r="O48" s="190"/>
      <c r="P48" s="143"/>
      <c r="Q48" s="191"/>
      <c r="R48" s="170"/>
      <c r="S48" s="192"/>
    </row>
    <row r="49" spans="2:19" hidden="1" x14ac:dyDescent="0.2">
      <c r="B49" s="223"/>
      <c r="C49" s="224"/>
      <c r="D49" s="225"/>
      <c r="E49" s="225"/>
      <c r="F49" s="225"/>
      <c r="G49" s="225"/>
      <c r="H49" s="225"/>
      <c r="I49" s="226"/>
      <c r="J49" s="226"/>
      <c r="K49" s="227"/>
      <c r="M49" s="397"/>
      <c r="N49" s="400"/>
      <c r="O49" s="398"/>
      <c r="P49" s="143"/>
      <c r="Q49" s="399"/>
      <c r="R49" s="225"/>
      <c r="S49" s="401"/>
    </row>
    <row r="50" spans="2:19" hidden="1" x14ac:dyDescent="0.2">
      <c r="B50" s="187"/>
      <c r="C50" s="169"/>
      <c r="D50" s="170"/>
      <c r="E50" s="170"/>
      <c r="F50" s="170"/>
      <c r="G50" s="170"/>
      <c r="H50" s="170"/>
      <c r="I50" s="171"/>
      <c r="J50" s="171"/>
      <c r="K50" s="188"/>
      <c r="M50" s="189"/>
      <c r="N50" s="172"/>
      <c r="O50" s="190"/>
      <c r="P50" s="143"/>
      <c r="Q50" s="191"/>
      <c r="R50" s="170"/>
      <c r="S50" s="192"/>
    </row>
    <row r="51" spans="2:19" hidden="1" x14ac:dyDescent="0.2">
      <c r="B51" s="223"/>
      <c r="C51" s="224"/>
      <c r="D51" s="225"/>
      <c r="E51" s="225"/>
      <c r="F51" s="225"/>
      <c r="G51" s="225"/>
      <c r="H51" s="225"/>
      <c r="I51" s="226"/>
      <c r="J51" s="226"/>
      <c r="K51" s="227"/>
      <c r="M51" s="397"/>
      <c r="N51" s="400"/>
      <c r="O51" s="398"/>
      <c r="P51" s="143"/>
      <c r="Q51" s="399"/>
      <c r="R51" s="225"/>
      <c r="S51" s="401"/>
    </row>
    <row r="52" spans="2:19" hidden="1" x14ac:dyDescent="0.2">
      <c r="B52" s="187"/>
      <c r="C52" s="169"/>
      <c r="D52" s="170"/>
      <c r="E52" s="170"/>
      <c r="F52" s="170"/>
      <c r="G52" s="170"/>
      <c r="H52" s="170"/>
      <c r="I52" s="171"/>
      <c r="J52" s="171"/>
      <c r="K52" s="188"/>
      <c r="M52" s="189"/>
      <c r="N52" s="172"/>
      <c r="O52" s="190"/>
      <c r="P52" s="143"/>
      <c r="Q52" s="191"/>
      <c r="R52" s="170"/>
      <c r="S52" s="192"/>
    </row>
    <row r="53" spans="2:19" hidden="1" x14ac:dyDescent="0.2">
      <c r="B53" s="223"/>
      <c r="C53" s="224"/>
      <c r="D53" s="225"/>
      <c r="E53" s="225"/>
      <c r="F53" s="225"/>
      <c r="G53" s="225"/>
      <c r="H53" s="225"/>
      <c r="I53" s="226"/>
      <c r="J53" s="226"/>
      <c r="K53" s="227"/>
      <c r="M53" s="397"/>
      <c r="N53" s="400"/>
      <c r="O53" s="398"/>
      <c r="P53" s="143"/>
      <c r="Q53" s="399"/>
      <c r="R53" s="225"/>
      <c r="S53" s="401"/>
    </row>
    <row r="54" spans="2:19" hidden="1" x14ac:dyDescent="0.2">
      <c r="B54" s="187"/>
      <c r="C54" s="169"/>
      <c r="D54" s="170"/>
      <c r="E54" s="170"/>
      <c r="F54" s="170"/>
      <c r="G54" s="170"/>
      <c r="H54" s="170"/>
      <c r="I54" s="171"/>
      <c r="J54" s="171"/>
      <c r="K54" s="188"/>
      <c r="M54" s="189"/>
      <c r="N54" s="172"/>
      <c r="O54" s="190"/>
      <c r="P54" s="143"/>
      <c r="Q54" s="191"/>
      <c r="R54" s="170"/>
      <c r="S54" s="192"/>
    </row>
    <row r="55" spans="2:19" x14ac:dyDescent="0.2">
      <c r="B55" s="223"/>
      <c r="C55" s="224"/>
      <c r="D55" s="225"/>
      <c r="E55" s="225"/>
      <c r="F55" s="225"/>
      <c r="G55" s="225"/>
      <c r="H55" s="225"/>
      <c r="I55" s="226"/>
      <c r="J55" s="226"/>
      <c r="K55" s="227"/>
      <c r="M55" s="397"/>
      <c r="N55" s="400"/>
      <c r="O55" s="398"/>
      <c r="P55" s="143"/>
      <c r="Q55" s="399"/>
      <c r="R55" s="225"/>
      <c r="S55" s="401"/>
    </row>
    <row r="56" spans="2:19" x14ac:dyDescent="0.2">
      <c r="B56" s="187"/>
      <c r="C56" s="169"/>
      <c r="D56" s="170"/>
      <c r="E56" s="170"/>
      <c r="F56" s="170"/>
      <c r="G56" s="170"/>
      <c r="H56" s="170"/>
      <c r="I56" s="171"/>
      <c r="J56" s="171"/>
      <c r="K56" s="188"/>
      <c r="M56" s="189"/>
      <c r="N56" s="172"/>
      <c r="O56" s="190"/>
      <c r="P56" s="143"/>
      <c r="Q56" s="191"/>
      <c r="R56" s="170"/>
      <c r="S56" s="192"/>
    </row>
    <row r="57" spans="2:19" x14ac:dyDescent="0.2">
      <c r="B57" s="223"/>
      <c r="C57" s="224"/>
      <c r="D57" s="225"/>
      <c r="E57" s="225"/>
      <c r="F57" s="225"/>
      <c r="G57" s="225"/>
      <c r="H57" s="225"/>
      <c r="I57" s="226"/>
      <c r="J57" s="226"/>
      <c r="K57" s="227"/>
      <c r="M57" s="397"/>
      <c r="N57" s="400"/>
      <c r="O57" s="398"/>
      <c r="P57" s="143"/>
      <c r="Q57" s="399"/>
      <c r="R57" s="225"/>
      <c r="S57" s="401"/>
    </row>
    <row r="58" spans="2:19" x14ac:dyDescent="0.2">
      <c r="B58" s="187"/>
      <c r="C58" s="169"/>
      <c r="D58" s="170"/>
      <c r="E58" s="170"/>
      <c r="F58" s="170"/>
      <c r="G58" s="170"/>
      <c r="H58" s="170"/>
      <c r="I58" s="171"/>
      <c r="J58" s="171"/>
      <c r="K58" s="188"/>
      <c r="M58" s="189"/>
      <c r="N58" s="172"/>
      <c r="O58" s="190"/>
      <c r="P58" s="143"/>
      <c r="Q58" s="191"/>
      <c r="R58" s="170"/>
      <c r="S58" s="192"/>
    </row>
    <row r="59" spans="2:19" x14ac:dyDescent="0.2">
      <c r="B59" s="223"/>
      <c r="C59" s="224"/>
      <c r="D59" s="225"/>
      <c r="E59" s="225"/>
      <c r="F59" s="225"/>
      <c r="G59" s="225"/>
      <c r="H59" s="225"/>
      <c r="I59" s="226"/>
      <c r="J59" s="226"/>
      <c r="K59" s="227"/>
      <c r="M59" s="397"/>
      <c r="N59" s="400"/>
      <c r="O59" s="398"/>
      <c r="P59" s="143"/>
      <c r="Q59" s="399"/>
      <c r="R59" s="225"/>
      <c r="S59" s="401"/>
    </row>
    <row r="60" spans="2:19" x14ac:dyDescent="0.2">
      <c r="B60" s="187"/>
      <c r="C60" s="169"/>
      <c r="D60" s="170"/>
      <c r="E60" s="170"/>
      <c r="F60" s="170"/>
      <c r="G60" s="170"/>
      <c r="H60" s="170"/>
      <c r="I60" s="171"/>
      <c r="J60" s="171"/>
      <c r="K60" s="188"/>
      <c r="M60" s="189"/>
      <c r="N60" s="172"/>
      <c r="O60" s="190"/>
      <c r="P60" s="143"/>
      <c r="Q60" s="191"/>
      <c r="R60" s="170"/>
      <c r="S60" s="192"/>
    </row>
    <row r="61" spans="2:19" ht="16" thickBot="1" x14ac:dyDescent="0.25">
      <c r="B61" s="194"/>
      <c r="C61" s="194"/>
      <c r="D61" s="194"/>
      <c r="E61" s="194"/>
      <c r="F61" s="194"/>
      <c r="G61" s="194"/>
      <c r="H61" s="194"/>
      <c r="I61" s="195">
        <f>SUM(I20:I60)</f>
        <v>38658</v>
      </c>
      <c r="J61" s="195">
        <f>SUM(J20:J60)</f>
        <v>0</v>
      </c>
      <c r="K61" s="195">
        <f>SUM(K20:K60)</f>
        <v>0</v>
      </c>
      <c r="M61" s="194"/>
      <c r="N61" s="195">
        <f>SUM(N20:N60)</f>
        <v>19329</v>
      </c>
      <c r="O61" s="194"/>
      <c r="P61" s="143"/>
      <c r="Q61" s="194"/>
      <c r="R61" s="194"/>
      <c r="S61" s="195">
        <f>SUM(S20:S60)</f>
        <v>19329</v>
      </c>
    </row>
    <row r="62" spans="2:19" ht="16" thickTop="1" x14ac:dyDescent="0.2">
      <c r="B62" s="143"/>
      <c r="C62" s="143" t="s">
        <v>651</v>
      </c>
      <c r="D62" s="143"/>
      <c r="E62" s="143"/>
      <c r="F62" s="155"/>
      <c r="G62" s="143"/>
      <c r="I62" s="251">
        <f>'COMMESSE E FCST'!F19-I61</f>
        <v>1547815.6800000002</v>
      </c>
      <c r="M62" s="173" t="s">
        <v>652</v>
      </c>
      <c r="N62" s="174">
        <f>N61-I61</f>
        <v>-19329</v>
      </c>
      <c r="O62" s="143"/>
      <c r="P62" s="143"/>
      <c r="Q62" s="143"/>
      <c r="R62" s="143"/>
      <c r="S62" s="155">
        <f>N61-S61</f>
        <v>0</v>
      </c>
    </row>
    <row r="67" spans="2:34" x14ac:dyDescent="0.2">
      <c r="B67" s="1" t="s">
        <v>683</v>
      </c>
      <c r="F67"/>
    </row>
    <row r="68" spans="2:34" x14ac:dyDescent="0.2">
      <c r="C68"/>
      <c r="V68" s="2"/>
      <c r="W68" s="2"/>
      <c r="X68" s="2"/>
      <c r="Y68" s="596" t="s">
        <v>969</v>
      </c>
      <c r="Z68" s="596"/>
      <c r="AA68" s="596"/>
      <c r="AB68" s="2"/>
      <c r="AC68" s="596" t="s">
        <v>973</v>
      </c>
      <c r="AD68" s="596"/>
      <c r="AE68" s="596"/>
      <c r="AF68" s="2"/>
      <c r="AG68" s="476" t="s">
        <v>73</v>
      </c>
    </row>
    <row r="69" spans="2:34" x14ac:dyDescent="0.2">
      <c r="C69" s="597" t="s">
        <v>623</v>
      </c>
      <c r="D69" s="598"/>
      <c r="E69" s="598"/>
      <c r="F69" s="598"/>
      <c r="G69" s="598"/>
      <c r="H69" s="598"/>
      <c r="I69" s="599"/>
      <c r="V69" s="477" t="s">
        <v>712</v>
      </c>
      <c r="W69" s="136" t="s">
        <v>713</v>
      </c>
      <c r="X69" s="136" t="s">
        <v>714</v>
      </c>
      <c r="Y69" s="136" t="s">
        <v>715</v>
      </c>
      <c r="Z69" s="136" t="s">
        <v>716</v>
      </c>
      <c r="AA69" s="137" t="s">
        <v>717</v>
      </c>
      <c r="AB69" s="2"/>
      <c r="AC69" s="476" t="s">
        <v>970</v>
      </c>
      <c r="AD69" s="476" t="s">
        <v>971</v>
      </c>
      <c r="AE69" s="476" t="s">
        <v>972</v>
      </c>
      <c r="AF69" s="2"/>
      <c r="AG69" s="2"/>
    </row>
    <row r="70" spans="2:34" x14ac:dyDescent="0.2">
      <c r="C70" s="91" t="s">
        <v>92</v>
      </c>
      <c r="D70" s="91" t="s">
        <v>93</v>
      </c>
      <c r="E70" s="91" t="s">
        <v>94</v>
      </c>
      <c r="F70" s="91" t="s">
        <v>25</v>
      </c>
      <c r="G70" s="91" t="s">
        <v>873</v>
      </c>
      <c r="H70" s="91" t="s">
        <v>757</v>
      </c>
      <c r="I70" s="91" t="s">
        <v>758</v>
      </c>
      <c r="V70" s="89">
        <v>236</v>
      </c>
      <c r="W70" s="90" t="s">
        <v>718</v>
      </c>
      <c r="X70" s="90" t="s">
        <v>719</v>
      </c>
      <c r="Y70" s="478">
        <v>600</v>
      </c>
      <c r="Z70" s="478">
        <v>980</v>
      </c>
      <c r="AA70" s="479">
        <v>2880</v>
      </c>
      <c r="AB70" s="480"/>
      <c r="AC70" s="481">
        <v>98</v>
      </c>
      <c r="AD70" s="482">
        <v>293.99999999999994</v>
      </c>
      <c r="AE70" s="483">
        <v>489.99999999999994</v>
      </c>
      <c r="AF70" s="480"/>
      <c r="AG70" s="484">
        <v>100416</v>
      </c>
      <c r="AH70" s="448"/>
    </row>
    <row r="71" spans="2:34" x14ac:dyDescent="0.2">
      <c r="B71" s="164" t="s">
        <v>5</v>
      </c>
      <c r="C71" s="165">
        <v>410</v>
      </c>
      <c r="D71" s="123">
        <v>3607</v>
      </c>
      <c r="E71" s="416">
        <f t="shared" ref="E71:E76" si="3">C71*D71</f>
        <v>1478870</v>
      </c>
      <c r="F71" s="406">
        <f>(SUMIFS(MEV[TOW02.1],MEV[Stato],"approvato",MEV[Tipo Contratto],"BASE"))*D71</f>
        <v>172400.17199999996</v>
      </c>
      <c r="G71" s="406">
        <f>SUMIFS(ORDINI[Valore Posizione],ORDINI[TOW],B71,ORDINI[Listino],"BASE")</f>
        <v>0</v>
      </c>
      <c r="H71" s="406">
        <f>E71-F71</f>
        <v>1306469.828</v>
      </c>
      <c r="I71" s="166">
        <f>E71-G71</f>
        <v>1478870</v>
      </c>
      <c r="J71" s="454">
        <f>G71/E71</f>
        <v>0</v>
      </c>
      <c r="K71" s="436">
        <f>E71/$E$77</f>
        <v>0.21516942637226524</v>
      </c>
      <c r="M71" s="436"/>
      <c r="V71" s="87">
        <v>239</v>
      </c>
      <c r="W71" s="88" t="s">
        <v>720</v>
      </c>
      <c r="X71" s="88" t="s">
        <v>721</v>
      </c>
      <c r="Y71" s="484">
        <v>750</v>
      </c>
      <c r="Z71" s="484">
        <v>1200</v>
      </c>
      <c r="AA71" s="485">
        <v>4050</v>
      </c>
      <c r="AB71" s="480"/>
      <c r="AC71" s="486">
        <v>120</v>
      </c>
      <c r="AD71" s="487">
        <v>360</v>
      </c>
      <c r="AE71" s="488">
        <v>600</v>
      </c>
      <c r="AF71" s="480"/>
      <c r="AG71" s="484">
        <v>482640</v>
      </c>
      <c r="AH71" s="448"/>
    </row>
    <row r="72" spans="2:34" x14ac:dyDescent="0.2">
      <c r="B72" s="99" t="s">
        <v>6</v>
      </c>
      <c r="C72" s="100">
        <v>140</v>
      </c>
      <c r="D72" s="126">
        <v>9018</v>
      </c>
      <c r="E72" s="122">
        <f t="shared" si="3"/>
        <v>1262520</v>
      </c>
      <c r="F72" s="117">
        <f>(SUMIFS(MEV[TOW02.2],MEV[Stato],"approvato",MEV[Tipo Contratto],"BASE"))*D72</f>
        <v>0</v>
      </c>
      <c r="G72" s="117">
        <f>SUMIFS(ORDINI[Valore Posizione],ORDINI[TOW],B72,ORDINI[Listino],"BASE")</f>
        <v>0</v>
      </c>
      <c r="H72" s="117">
        <f t="shared" ref="H72:H76" si="4">E72-F72</f>
        <v>1262520</v>
      </c>
      <c r="I72" s="167">
        <f t="shared" ref="I72:I76" si="5">E72-G72</f>
        <v>1262520</v>
      </c>
      <c r="J72" s="454">
        <f t="shared" ref="J72:J76" si="6">G72/E72</f>
        <v>0</v>
      </c>
      <c r="K72" s="436">
        <f t="shared" ref="K72:K76" si="7">E72/$E$77</f>
        <v>0.18369140234335155</v>
      </c>
      <c r="V72" s="87">
        <v>241</v>
      </c>
      <c r="W72" s="88" t="s">
        <v>722</v>
      </c>
      <c r="X72" s="88" t="s">
        <v>723</v>
      </c>
      <c r="Y72" s="484">
        <v>200</v>
      </c>
      <c r="Z72" s="484">
        <v>294</v>
      </c>
      <c r="AA72" s="485">
        <v>1020</v>
      </c>
      <c r="AB72" s="480"/>
      <c r="AC72" s="486">
        <v>29.400000000000002</v>
      </c>
      <c r="AD72" s="487">
        <v>88.2</v>
      </c>
      <c r="AE72" s="488">
        <v>147</v>
      </c>
      <c r="AF72" s="480"/>
      <c r="AG72" s="484">
        <v>294676.40000000002</v>
      </c>
      <c r="AH72" s="448"/>
    </row>
    <row r="73" spans="2:34" x14ac:dyDescent="0.2">
      <c r="B73" s="89" t="s">
        <v>7</v>
      </c>
      <c r="C73" s="90">
        <v>410</v>
      </c>
      <c r="D73" s="127">
        <v>3156</v>
      </c>
      <c r="E73" s="98">
        <f t="shared" si="3"/>
        <v>1293960</v>
      </c>
      <c r="F73" s="117">
        <f>(SUMIFS(MEV[TOW02.3],MEV[Stato],"approvato",MEV[Tipo Contratto],"BASE"))*D73</f>
        <v>94092.037200000006</v>
      </c>
      <c r="G73" s="107">
        <f>SUMIFS(ORDINI[Valore Posizione],ORDINI[TOW],B73,ORDINI[Listino],"BASE")</f>
        <v>0</v>
      </c>
      <c r="H73" s="107">
        <f t="shared" si="4"/>
        <v>1199867.9628000001</v>
      </c>
      <c r="I73" s="168">
        <f t="shared" si="5"/>
        <v>1293960</v>
      </c>
      <c r="J73" s="454">
        <f t="shared" si="6"/>
        <v>0</v>
      </c>
      <c r="K73" s="436">
        <f t="shared" si="7"/>
        <v>0.18826579141415833</v>
      </c>
      <c r="N73" s="450"/>
      <c r="V73" s="87">
        <v>242</v>
      </c>
      <c r="W73" s="88" t="s">
        <v>722</v>
      </c>
      <c r="X73" s="88" t="s">
        <v>724</v>
      </c>
      <c r="Y73" s="484">
        <v>120</v>
      </c>
      <c r="Z73" s="484">
        <v>300</v>
      </c>
      <c r="AA73" s="485">
        <v>630</v>
      </c>
      <c r="AB73" s="480"/>
      <c r="AC73" s="486">
        <v>30</v>
      </c>
      <c r="AD73" s="487">
        <v>90</v>
      </c>
      <c r="AE73" s="488">
        <v>150</v>
      </c>
      <c r="AF73" s="480"/>
      <c r="AG73" s="484">
        <v>136500</v>
      </c>
      <c r="AH73" s="448"/>
    </row>
    <row r="74" spans="2:34" x14ac:dyDescent="0.2">
      <c r="B74" s="99" t="s">
        <v>8</v>
      </c>
      <c r="C74" s="100">
        <v>410</v>
      </c>
      <c r="D74" s="124">
        <v>1202</v>
      </c>
      <c r="E74" s="101">
        <f t="shared" si="3"/>
        <v>492820</v>
      </c>
      <c r="F74" s="117">
        <f>(SUMIFS(MEV[TOW02.4],MEV[Stato],"approvato",MEV[Tipo Contratto],"BASE"))*D74</f>
        <v>42622.919999999991</v>
      </c>
      <c r="G74" s="117">
        <f>SUMIFS(ORDINI[Valore Posizione],ORDINI[TOW],B74,ORDINI[Listino],"BASE")</f>
        <v>0</v>
      </c>
      <c r="H74" s="117">
        <f t="shared" si="4"/>
        <v>450197.08</v>
      </c>
      <c r="I74" s="167">
        <f t="shared" si="5"/>
        <v>492820</v>
      </c>
      <c r="J74" s="454">
        <f t="shared" si="6"/>
        <v>0</v>
      </c>
      <c r="K74" s="436">
        <f t="shared" si="7"/>
        <v>7.1703257693225067E-2</v>
      </c>
      <c r="V74" s="87">
        <v>249</v>
      </c>
      <c r="W74" s="88" t="s">
        <v>725</v>
      </c>
      <c r="X74" s="88" t="s">
        <v>726</v>
      </c>
      <c r="Y74" s="484">
        <v>120</v>
      </c>
      <c r="Z74" s="484">
        <v>300</v>
      </c>
      <c r="AA74" s="485">
        <v>630</v>
      </c>
      <c r="AB74" s="480"/>
      <c r="AC74" s="486">
        <v>30</v>
      </c>
      <c r="AD74" s="487">
        <v>90</v>
      </c>
      <c r="AE74" s="488">
        <v>150</v>
      </c>
      <c r="AF74" s="480"/>
      <c r="AG74" s="484">
        <v>50370</v>
      </c>
      <c r="AH74" s="448"/>
    </row>
    <row r="75" spans="2:34" x14ac:dyDescent="0.2">
      <c r="B75" s="89" t="s">
        <v>9</v>
      </c>
      <c r="C75" s="90"/>
      <c r="D75" s="125"/>
      <c r="E75" s="108">
        <v>2190246.9500000002</v>
      </c>
      <c r="F75" s="107">
        <f>SUMIFS(MEV[TOW02.5],MEV[Stato],"approvato",MEV[Tipo Contratto],"BASE")</f>
        <v>435700.5</v>
      </c>
      <c r="G75" s="107">
        <f>SUMIFS(ORDINI[Valore Posizione],ORDINI[TOW],B75,ORDINI[Listino],"BASE")</f>
        <v>0</v>
      </c>
      <c r="H75" s="107">
        <f t="shared" si="4"/>
        <v>1754546.4500000002</v>
      </c>
      <c r="I75" s="168">
        <f t="shared" si="5"/>
        <v>2190246.9500000002</v>
      </c>
      <c r="J75" s="454">
        <f t="shared" si="6"/>
        <v>0</v>
      </c>
      <c r="K75" s="436">
        <f t="shared" si="7"/>
        <v>0.31867181012874934</v>
      </c>
      <c r="M75" s="436"/>
      <c r="V75" s="87">
        <v>406</v>
      </c>
      <c r="W75" s="88" t="s">
        <v>722</v>
      </c>
      <c r="X75" s="88" t="s">
        <v>727</v>
      </c>
      <c r="Y75" s="88" t="s">
        <v>728</v>
      </c>
      <c r="Z75" s="484">
        <v>1080</v>
      </c>
      <c r="AA75" s="489" t="s">
        <v>728</v>
      </c>
      <c r="AB75" s="480"/>
      <c r="AC75" s="486">
        <v>108</v>
      </c>
      <c r="AD75" s="487">
        <v>324</v>
      </c>
      <c r="AE75" s="488">
        <v>540</v>
      </c>
      <c r="AF75" s="480"/>
      <c r="AG75" s="484">
        <v>113400</v>
      </c>
      <c r="AH75" s="448"/>
    </row>
    <row r="76" spans="2:34" ht="16" thickBot="1" x14ac:dyDescent="0.25">
      <c r="B76" s="407" t="s">
        <v>10</v>
      </c>
      <c r="C76" s="408">
        <v>24</v>
      </c>
      <c r="D76" s="409">
        <v>6443</v>
      </c>
      <c r="E76" s="417">
        <f t="shared" si="3"/>
        <v>154632</v>
      </c>
      <c r="F76" s="410">
        <f>(SUMIFS(MEV[TOW02.6],MEV[Stato],"approvato",MEV[Tipo Contratto],"BASE"))*D76</f>
        <v>38658</v>
      </c>
      <c r="G76" s="410">
        <f>SUMIFS(ORDINI[Valore Posizione],ORDINI[TOW],B76,ORDINI[Listino],"BASE")</f>
        <v>38658</v>
      </c>
      <c r="H76" s="410">
        <f t="shared" si="4"/>
        <v>115974</v>
      </c>
      <c r="I76" s="415">
        <f t="shared" si="5"/>
        <v>115974</v>
      </c>
      <c r="J76" s="454">
        <f t="shared" si="6"/>
        <v>0.25</v>
      </c>
      <c r="K76" s="436">
        <f t="shared" si="7"/>
        <v>2.2498312048250434E-2</v>
      </c>
      <c r="V76" s="87">
        <v>410</v>
      </c>
      <c r="W76" s="88" t="s">
        <v>725</v>
      </c>
      <c r="X76" s="88" t="s">
        <v>729</v>
      </c>
      <c r="Y76" s="88" t="s">
        <v>728</v>
      </c>
      <c r="Z76" s="484">
        <v>3750</v>
      </c>
      <c r="AA76" s="489" t="s">
        <v>728</v>
      </c>
      <c r="AB76" s="480"/>
      <c r="AC76" s="486">
        <v>375</v>
      </c>
      <c r="AD76" s="487">
        <v>1125</v>
      </c>
      <c r="AE76" s="488">
        <v>1875</v>
      </c>
      <c r="AF76" s="480"/>
      <c r="AG76" s="484">
        <v>49500</v>
      </c>
      <c r="AH76" s="448"/>
    </row>
    <row r="77" spans="2:34" ht="17" thickTop="1" thickBot="1" x14ac:dyDescent="0.25">
      <c r="B77" s="412" t="s">
        <v>73</v>
      </c>
      <c r="C77" s="413"/>
      <c r="D77" s="414"/>
      <c r="E77" s="418">
        <f>SUM(E71:E76)</f>
        <v>6873048.9500000002</v>
      </c>
      <c r="F77" s="418">
        <f t="shared" ref="F77:I77" si="8">SUM(F71:F76)</f>
        <v>783473.62919999997</v>
      </c>
      <c r="G77" s="418">
        <f t="shared" si="8"/>
        <v>38658</v>
      </c>
      <c r="H77" s="418">
        <f t="shared" si="8"/>
        <v>6089575.3207999999</v>
      </c>
      <c r="I77" s="419">
        <f t="shared" si="8"/>
        <v>6834390.9500000002</v>
      </c>
      <c r="J77" s="13"/>
      <c r="V77" s="87">
        <v>412</v>
      </c>
      <c r="W77" s="88" t="s">
        <v>725</v>
      </c>
      <c r="X77" s="88" t="s">
        <v>730</v>
      </c>
      <c r="Y77" s="88" t="s">
        <v>728</v>
      </c>
      <c r="Z77" s="484">
        <v>1200</v>
      </c>
      <c r="AA77" s="489" t="s">
        <v>728</v>
      </c>
      <c r="AB77" s="480"/>
      <c r="AC77" s="486">
        <v>120.00000000000003</v>
      </c>
      <c r="AD77" s="487">
        <v>360.00000000000006</v>
      </c>
      <c r="AE77" s="488">
        <v>600.00000000000011</v>
      </c>
      <c r="AF77" s="480"/>
      <c r="AG77" s="484">
        <v>9720.0000000000018</v>
      </c>
      <c r="AH77" s="448"/>
    </row>
    <row r="78" spans="2:34" ht="16" thickTop="1" x14ac:dyDescent="0.2">
      <c r="B78" s="2"/>
      <c r="C78" s="2"/>
      <c r="D78" s="411"/>
      <c r="E78" s="411"/>
      <c r="F78" s="5"/>
      <c r="G78" s="5"/>
      <c r="H78" s="5"/>
      <c r="I78" s="5"/>
      <c r="J78" s="13"/>
      <c r="V78" s="87">
        <v>413</v>
      </c>
      <c r="W78" s="88" t="s">
        <v>725</v>
      </c>
      <c r="X78" s="88" t="s">
        <v>731</v>
      </c>
      <c r="Y78" s="88" t="s">
        <v>728</v>
      </c>
      <c r="Z78" s="484">
        <v>600</v>
      </c>
      <c r="AA78" s="489" t="s">
        <v>728</v>
      </c>
      <c r="AB78" s="480"/>
      <c r="AC78" s="486">
        <v>60.000000000000014</v>
      </c>
      <c r="AD78" s="487">
        <v>180.00000000000003</v>
      </c>
      <c r="AE78" s="488">
        <v>300.00000000000006</v>
      </c>
      <c r="AF78" s="480"/>
      <c r="AG78" s="484">
        <v>4320.0000000000009</v>
      </c>
      <c r="AH78" s="448"/>
    </row>
    <row r="79" spans="2:34" x14ac:dyDescent="0.2">
      <c r="C79"/>
      <c r="E79" s="450">
        <f>E77/2</f>
        <v>3436524.4750000001</v>
      </c>
      <c r="J79" s="13"/>
      <c r="V79" s="87">
        <v>415</v>
      </c>
      <c r="W79" s="88" t="s">
        <v>725</v>
      </c>
      <c r="X79" s="88" t="s">
        <v>732</v>
      </c>
      <c r="Y79" s="484">
        <v>600</v>
      </c>
      <c r="Z79" s="484">
        <v>2070</v>
      </c>
      <c r="AA79" s="485">
        <v>5600</v>
      </c>
      <c r="AB79" s="480"/>
      <c r="AC79" s="486">
        <v>207</v>
      </c>
      <c r="AD79" s="487">
        <v>621</v>
      </c>
      <c r="AE79" s="488">
        <v>1035</v>
      </c>
      <c r="AF79" s="480"/>
      <c r="AG79" s="484">
        <v>159901</v>
      </c>
      <c r="AH79" s="448"/>
    </row>
    <row r="80" spans="2:34" x14ac:dyDescent="0.2">
      <c r="C80"/>
      <c r="E80" s="13">
        <f>E79*0.9</f>
        <v>3092872.0275000003</v>
      </c>
      <c r="H80" s="436"/>
      <c r="V80" s="87">
        <v>416</v>
      </c>
      <c r="W80" s="88" t="s">
        <v>725</v>
      </c>
      <c r="X80" s="88" t="s">
        <v>733</v>
      </c>
      <c r="Y80" s="88" t="s">
        <v>728</v>
      </c>
      <c r="Z80" s="484">
        <v>2160</v>
      </c>
      <c r="AA80" s="489" t="s">
        <v>728</v>
      </c>
      <c r="AB80" s="480"/>
      <c r="AC80" s="486">
        <v>216</v>
      </c>
      <c r="AD80" s="487">
        <v>648</v>
      </c>
      <c r="AE80" s="488">
        <v>1080</v>
      </c>
      <c r="AF80" s="480"/>
      <c r="AG80" s="484">
        <v>122040</v>
      </c>
      <c r="AH80" s="448"/>
    </row>
    <row r="81" spans="2:34" x14ac:dyDescent="0.2">
      <c r="B81" s="1" t="s">
        <v>912</v>
      </c>
      <c r="C81"/>
      <c r="F81" s="456">
        <f>D76*12</f>
        <v>77316</v>
      </c>
      <c r="V81" s="87">
        <v>418</v>
      </c>
      <c r="W81" s="88" t="s">
        <v>725</v>
      </c>
      <c r="X81" s="88" t="s">
        <v>734</v>
      </c>
      <c r="Y81" s="88" t="s">
        <v>728</v>
      </c>
      <c r="Z81" s="484">
        <v>1680</v>
      </c>
      <c r="AA81" s="489" t="s">
        <v>728</v>
      </c>
      <c r="AB81" s="480"/>
      <c r="AC81" s="486">
        <v>168</v>
      </c>
      <c r="AD81" s="487">
        <v>504</v>
      </c>
      <c r="AE81" s="488">
        <v>840</v>
      </c>
      <c r="AF81" s="480"/>
      <c r="AG81" s="484">
        <v>47880</v>
      </c>
      <c r="AH81" s="448"/>
    </row>
    <row r="82" spans="2:34" x14ac:dyDescent="0.2">
      <c r="B82" s="1" t="s">
        <v>913</v>
      </c>
      <c r="C82"/>
      <c r="F82" s="13">
        <f>E80-F81</f>
        <v>3015556.0275000003</v>
      </c>
      <c r="V82" s="87">
        <v>420</v>
      </c>
      <c r="W82" s="88" t="s">
        <v>725</v>
      </c>
      <c r="X82" s="88" t="s">
        <v>735</v>
      </c>
      <c r="Y82" s="484">
        <v>360</v>
      </c>
      <c r="Z82" s="484">
        <v>840</v>
      </c>
      <c r="AA82" s="485">
        <v>2100</v>
      </c>
      <c r="AB82" s="480"/>
      <c r="AC82" s="486">
        <v>84</v>
      </c>
      <c r="AD82" s="487">
        <v>252</v>
      </c>
      <c r="AE82" s="488">
        <v>420</v>
      </c>
      <c r="AF82" s="480"/>
      <c r="AG82" s="484">
        <v>22272</v>
      </c>
      <c r="AH82" s="448"/>
    </row>
    <row r="83" spans="2:34" x14ac:dyDescent="0.2">
      <c r="B83" s="1" t="s">
        <v>693</v>
      </c>
      <c r="C83"/>
      <c r="F83" s="456">
        <f>E79*0.1</f>
        <v>343652.44750000001</v>
      </c>
      <c r="V83" s="87">
        <v>453</v>
      </c>
      <c r="W83" s="88" t="s">
        <v>736</v>
      </c>
      <c r="X83" s="88" t="s">
        <v>737</v>
      </c>
      <c r="Y83" s="88" t="s">
        <v>728</v>
      </c>
      <c r="Z83" s="484">
        <v>1360</v>
      </c>
      <c r="AA83" s="489" t="s">
        <v>728</v>
      </c>
      <c r="AB83" s="480"/>
      <c r="AC83" s="486">
        <v>135.99999999999997</v>
      </c>
      <c r="AD83" s="487">
        <v>407.99999999999994</v>
      </c>
      <c r="AE83" s="488">
        <v>679.99999999999989</v>
      </c>
      <c r="AF83" s="480"/>
      <c r="AG83" s="484">
        <v>61471.999999999985</v>
      </c>
      <c r="AH83" s="448"/>
    </row>
    <row r="84" spans="2:34" x14ac:dyDescent="0.2">
      <c r="C84"/>
      <c r="F84" s="456">
        <f>SUM(F81:F83)</f>
        <v>3436524.4750000006</v>
      </c>
      <c r="V84" s="87">
        <v>462</v>
      </c>
      <c r="W84" s="88" t="s">
        <v>736</v>
      </c>
      <c r="X84" s="88" t="s">
        <v>738</v>
      </c>
      <c r="Y84" s="88" t="s">
        <v>728</v>
      </c>
      <c r="Z84" s="484">
        <v>540</v>
      </c>
      <c r="AA84" s="489" t="s">
        <v>728</v>
      </c>
      <c r="AB84" s="480"/>
      <c r="AC84" s="486">
        <v>53.999999999999993</v>
      </c>
      <c r="AD84" s="487">
        <v>161.99999999999997</v>
      </c>
      <c r="AE84" s="488">
        <v>269.99999999999994</v>
      </c>
      <c r="AF84" s="480"/>
      <c r="AG84" s="484">
        <v>6047.9999999999982</v>
      </c>
      <c r="AH84" s="448"/>
    </row>
    <row r="85" spans="2:34" x14ac:dyDescent="0.2">
      <c r="C85"/>
      <c r="F85" s="456">
        <f>F84*2</f>
        <v>6873048.9500000011</v>
      </c>
      <c r="V85" s="87">
        <v>481</v>
      </c>
      <c r="W85" s="88" t="s">
        <v>720</v>
      </c>
      <c r="X85" s="88" t="s">
        <v>739</v>
      </c>
      <c r="Y85" s="484">
        <v>120</v>
      </c>
      <c r="Z85" s="484">
        <v>630</v>
      </c>
      <c r="AA85" s="485">
        <v>1050</v>
      </c>
      <c r="AB85" s="480"/>
      <c r="AC85" s="486">
        <v>63</v>
      </c>
      <c r="AD85" s="487">
        <v>189</v>
      </c>
      <c r="AE85" s="488">
        <v>315</v>
      </c>
      <c r="AF85" s="480"/>
      <c r="AG85" s="484">
        <v>37476</v>
      </c>
      <c r="AH85" s="448"/>
    </row>
    <row r="86" spans="2:34" x14ac:dyDescent="0.2">
      <c r="C86"/>
      <c r="V86" s="87">
        <v>483</v>
      </c>
      <c r="W86" s="88" t="s">
        <v>720</v>
      </c>
      <c r="X86" s="88" t="s">
        <v>740</v>
      </c>
      <c r="Y86" s="88" t="s">
        <v>741</v>
      </c>
      <c r="Z86" s="484">
        <v>300</v>
      </c>
      <c r="AA86" s="489" t="s">
        <v>742</v>
      </c>
      <c r="AB86" s="480"/>
      <c r="AC86" s="486">
        <v>30.000000000000007</v>
      </c>
      <c r="AD86" s="487">
        <v>90.000000000000014</v>
      </c>
      <c r="AE86" s="488">
        <v>150.00000000000003</v>
      </c>
      <c r="AF86" s="480"/>
      <c r="AG86" s="484">
        <v>7830.0000000000009</v>
      </c>
      <c r="AH86" s="448"/>
    </row>
    <row r="87" spans="2:34" x14ac:dyDescent="0.2">
      <c r="C87"/>
      <c r="V87" s="87">
        <v>498</v>
      </c>
      <c r="W87" s="88" t="s">
        <v>720</v>
      </c>
      <c r="X87" s="88" t="s">
        <v>743</v>
      </c>
      <c r="Y87" s="484">
        <v>75</v>
      </c>
      <c r="Z87" s="484">
        <v>225</v>
      </c>
      <c r="AA87" s="485">
        <v>708.3</v>
      </c>
      <c r="AB87" s="480"/>
      <c r="AC87" s="486">
        <v>22.5</v>
      </c>
      <c r="AD87" s="487">
        <v>67.5</v>
      </c>
      <c r="AE87" s="488">
        <v>112.5</v>
      </c>
      <c r="AF87" s="480"/>
      <c r="AG87" s="484">
        <v>48457.2</v>
      </c>
      <c r="AH87" s="448"/>
    </row>
    <row r="88" spans="2:34" x14ac:dyDescent="0.2">
      <c r="V88" s="87">
        <v>952</v>
      </c>
      <c r="W88" s="88" t="s">
        <v>736</v>
      </c>
      <c r="X88" s="88" t="s">
        <v>744</v>
      </c>
      <c r="Y88" s="484">
        <v>237.6</v>
      </c>
      <c r="Z88" s="484">
        <v>495</v>
      </c>
      <c r="AA88" s="485">
        <v>1815</v>
      </c>
      <c r="AB88" s="480"/>
      <c r="AC88" s="486">
        <v>49.5</v>
      </c>
      <c r="AD88" s="487">
        <v>148.5</v>
      </c>
      <c r="AE88" s="488">
        <v>247.5</v>
      </c>
      <c r="AF88" s="480"/>
      <c r="AG88" s="484">
        <v>42028.800000000003</v>
      </c>
      <c r="AH88" s="448"/>
    </row>
    <row r="89" spans="2:34" x14ac:dyDescent="0.2">
      <c r="V89" s="87">
        <v>954</v>
      </c>
      <c r="W89" s="88" t="s">
        <v>736</v>
      </c>
      <c r="X89" s="88" t="s">
        <v>745</v>
      </c>
      <c r="Y89" s="484">
        <v>237.6</v>
      </c>
      <c r="Z89" s="484">
        <v>495</v>
      </c>
      <c r="AA89" s="485">
        <v>1650</v>
      </c>
      <c r="AB89" s="480"/>
      <c r="AC89" s="486">
        <v>49.5</v>
      </c>
      <c r="AD89" s="487">
        <v>148.5</v>
      </c>
      <c r="AE89" s="488">
        <v>247.5</v>
      </c>
      <c r="AF89" s="480"/>
      <c r="AG89" s="484">
        <v>71728.800000000003</v>
      </c>
      <c r="AH89" s="448"/>
    </row>
    <row r="90" spans="2:34" x14ac:dyDescent="0.2">
      <c r="V90" s="87">
        <v>955</v>
      </c>
      <c r="W90" s="88" t="s">
        <v>736</v>
      </c>
      <c r="X90" s="88" t="s">
        <v>746</v>
      </c>
      <c r="Y90" s="484">
        <v>173.4</v>
      </c>
      <c r="Z90" s="484">
        <v>420</v>
      </c>
      <c r="AA90" s="485">
        <v>982.8</v>
      </c>
      <c r="AB90" s="480"/>
      <c r="AC90" s="486">
        <v>42</v>
      </c>
      <c r="AD90" s="487">
        <v>126</v>
      </c>
      <c r="AE90" s="488">
        <v>210</v>
      </c>
      <c r="AF90" s="480"/>
      <c r="AG90" s="484">
        <v>54525</v>
      </c>
      <c r="AH90" s="448"/>
    </row>
    <row r="91" spans="2:34" x14ac:dyDescent="0.2">
      <c r="V91" s="87">
        <v>965</v>
      </c>
      <c r="W91" s="88" t="s">
        <v>736</v>
      </c>
      <c r="X91" s="88" t="s">
        <v>747</v>
      </c>
      <c r="Y91" s="484">
        <v>38.25</v>
      </c>
      <c r="Z91" s="484">
        <v>75</v>
      </c>
      <c r="AA91" s="485">
        <v>270</v>
      </c>
      <c r="AB91" s="480"/>
      <c r="AC91" s="486">
        <v>7.5</v>
      </c>
      <c r="AD91" s="487">
        <v>22.5</v>
      </c>
      <c r="AE91" s="488">
        <v>37.5</v>
      </c>
      <c r="AF91" s="480"/>
      <c r="AG91" s="484">
        <v>12033</v>
      </c>
      <c r="AH91" s="448"/>
    </row>
    <row r="92" spans="2:34" x14ac:dyDescent="0.2">
      <c r="V92" s="87">
        <v>966</v>
      </c>
      <c r="W92" s="88" t="s">
        <v>736</v>
      </c>
      <c r="X92" s="88" t="s">
        <v>748</v>
      </c>
      <c r="Y92" s="484">
        <v>38.25</v>
      </c>
      <c r="Z92" s="484">
        <v>150</v>
      </c>
      <c r="AA92" s="485">
        <v>900</v>
      </c>
      <c r="AB92" s="480"/>
      <c r="AC92" s="486">
        <v>15</v>
      </c>
      <c r="AD92" s="487">
        <v>45</v>
      </c>
      <c r="AE92" s="488">
        <v>75</v>
      </c>
      <c r="AF92" s="480"/>
      <c r="AG92" s="484">
        <v>13852.5</v>
      </c>
      <c r="AH92" s="448"/>
    </row>
    <row r="93" spans="2:34" x14ac:dyDescent="0.2">
      <c r="V93" s="87">
        <v>967</v>
      </c>
      <c r="W93" s="88" t="s">
        <v>736</v>
      </c>
      <c r="X93" s="88" t="s">
        <v>749</v>
      </c>
      <c r="Y93" s="484">
        <v>38.25</v>
      </c>
      <c r="Z93" s="484">
        <v>165</v>
      </c>
      <c r="AA93" s="485">
        <v>420</v>
      </c>
      <c r="AB93" s="480"/>
      <c r="AC93" s="486">
        <v>16.5</v>
      </c>
      <c r="AD93" s="487">
        <v>49.5</v>
      </c>
      <c r="AE93" s="488">
        <v>82.5</v>
      </c>
      <c r="AF93" s="480"/>
      <c r="AG93" s="484">
        <v>31763.25</v>
      </c>
      <c r="AH93" s="448"/>
    </row>
    <row r="94" spans="2:34" x14ac:dyDescent="0.2">
      <c r="V94" s="87">
        <v>992</v>
      </c>
      <c r="W94" s="88" t="s">
        <v>720</v>
      </c>
      <c r="X94" s="88" t="s">
        <v>750</v>
      </c>
      <c r="Y94" s="484">
        <v>255</v>
      </c>
      <c r="Z94" s="484">
        <v>570</v>
      </c>
      <c r="AA94" s="485">
        <v>1080</v>
      </c>
      <c r="AB94" s="480"/>
      <c r="AC94" s="486">
        <v>56.999999999999993</v>
      </c>
      <c r="AD94" s="487">
        <v>170.99999999999997</v>
      </c>
      <c r="AE94" s="488">
        <v>284.99999999999994</v>
      </c>
      <c r="AF94" s="480"/>
      <c r="AG94" s="484">
        <v>86685</v>
      </c>
      <c r="AH94" s="448"/>
    </row>
    <row r="95" spans="2:34" x14ac:dyDescent="0.2">
      <c r="V95" s="87">
        <v>993</v>
      </c>
      <c r="W95" s="88" t="s">
        <v>720</v>
      </c>
      <c r="X95" s="88" t="s">
        <v>751</v>
      </c>
      <c r="Y95" s="484">
        <v>255</v>
      </c>
      <c r="Z95" s="484">
        <v>570</v>
      </c>
      <c r="AA95" s="485">
        <v>1080</v>
      </c>
      <c r="AB95" s="480"/>
      <c r="AC95" s="486">
        <v>56.999999999999993</v>
      </c>
      <c r="AD95" s="487">
        <v>170.99999999999997</v>
      </c>
      <c r="AE95" s="488">
        <v>284.99999999999994</v>
      </c>
      <c r="AF95" s="480"/>
      <c r="AG95" s="484">
        <v>75840</v>
      </c>
      <c r="AH95" s="448"/>
    </row>
    <row r="96" spans="2:34" x14ac:dyDescent="0.2">
      <c r="V96" s="490">
        <v>1025</v>
      </c>
      <c r="W96" s="491" t="s">
        <v>736</v>
      </c>
      <c r="X96" s="491" t="s">
        <v>752</v>
      </c>
      <c r="Y96" s="492">
        <v>510</v>
      </c>
      <c r="Z96" s="492">
        <v>900</v>
      </c>
      <c r="AA96" s="493">
        <v>2268</v>
      </c>
      <c r="AB96" s="480"/>
      <c r="AC96" s="486">
        <v>89.999999999999986</v>
      </c>
      <c r="AD96" s="487">
        <v>269.99999999999994</v>
      </c>
      <c r="AE96" s="488">
        <v>449.99999999999989</v>
      </c>
      <c r="AF96" s="480"/>
      <c r="AG96" s="484">
        <v>46872</v>
      </c>
      <c r="AH96" s="448"/>
    </row>
    <row r="97" spans="22:33" x14ac:dyDescent="0.2">
      <c r="V97" s="2"/>
      <c r="W97" s="2"/>
      <c r="X97" s="2"/>
      <c r="Y97" s="2"/>
      <c r="Z97" s="2"/>
      <c r="AA97" s="2"/>
      <c r="AB97" s="480"/>
      <c r="AC97" s="2"/>
      <c r="AD97" s="2"/>
      <c r="AE97" s="2"/>
      <c r="AF97" s="2"/>
      <c r="AG97" s="480">
        <f>SUM(AG70:AG96)</f>
        <v>2190246.9500000002</v>
      </c>
    </row>
    <row r="98" spans="22:33" x14ac:dyDescent="0.2">
      <c r="AB98" s="448"/>
    </row>
  </sheetData>
  <mergeCells count="8">
    <mergeCell ref="Y68:AA68"/>
    <mergeCell ref="AC68:AE68"/>
    <mergeCell ref="C69:I69"/>
    <mergeCell ref="Q18:S18"/>
    <mergeCell ref="B2:K2"/>
    <mergeCell ref="B18:K18"/>
    <mergeCell ref="M2:O2"/>
    <mergeCell ref="M18:O18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BA13EFE-290A-4CC5-BB6B-0BBB0C5D3560}">
          <x14:formula1>
            <xm:f>TABELLE!$M$3:$M$14</xm:f>
          </x14:formula1>
          <xm:sqref>B4:B15 B23:B60 C20:C60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87F5-6266-43AD-A234-9A9CD67AD3D9}">
  <sheetPr codeName="Foglio5"/>
  <dimension ref="A1:J40"/>
  <sheetViews>
    <sheetView workbookViewId="0">
      <selection activeCell="A3" sqref="A3"/>
    </sheetView>
  </sheetViews>
  <sheetFormatPr baseColWidth="10" defaultColWidth="8.83203125" defaultRowHeight="15" x14ac:dyDescent="0.2"/>
  <cols>
    <col min="3" max="3" width="56.1640625" bestFit="1" customWidth="1"/>
    <col min="4" max="4" width="8.83203125" customWidth="1"/>
    <col min="5" max="5" width="9.1640625" bestFit="1" customWidth="1"/>
    <col min="6" max="6" width="10.5" bestFit="1" customWidth="1"/>
    <col min="7" max="7" width="11.1640625" bestFit="1" customWidth="1"/>
    <col min="8" max="8" width="9.5" bestFit="1" customWidth="1"/>
    <col min="9" max="9" width="12.83203125" bestFit="1" customWidth="1"/>
    <col min="10" max="10" width="14.1640625" customWidth="1"/>
  </cols>
  <sheetData>
    <row r="1" spans="1:10" x14ac:dyDescent="0.2">
      <c r="A1" s="2"/>
      <c r="B1" s="2"/>
      <c r="C1" s="2"/>
      <c r="D1" s="596" t="s">
        <v>969</v>
      </c>
      <c r="E1" s="596"/>
      <c r="F1" s="596"/>
      <c r="G1" s="596" t="s">
        <v>973</v>
      </c>
      <c r="H1" s="596"/>
      <c r="I1" s="596"/>
      <c r="J1" s="476" t="s">
        <v>73</v>
      </c>
    </row>
    <row r="2" spans="1:10" x14ac:dyDescent="0.2">
      <c r="A2" s="477" t="s">
        <v>712</v>
      </c>
      <c r="B2" s="136" t="s">
        <v>713</v>
      </c>
      <c r="C2" s="136" t="s">
        <v>714</v>
      </c>
      <c r="D2" s="136" t="s">
        <v>715</v>
      </c>
      <c r="E2" s="136" t="s">
        <v>716</v>
      </c>
      <c r="F2" s="137" t="s">
        <v>717</v>
      </c>
      <c r="G2" s="476" t="s">
        <v>970</v>
      </c>
      <c r="H2" s="476" t="s">
        <v>971</v>
      </c>
      <c r="I2" s="476" t="s">
        <v>972</v>
      </c>
      <c r="J2" s="2"/>
    </row>
    <row r="3" spans="1:10" x14ac:dyDescent="0.2">
      <c r="A3" s="89">
        <v>236</v>
      </c>
      <c r="B3" s="90" t="s">
        <v>718</v>
      </c>
      <c r="C3" s="90" t="s">
        <v>719</v>
      </c>
      <c r="D3" s="478">
        <v>600</v>
      </c>
      <c r="E3" s="478">
        <v>980</v>
      </c>
      <c r="F3" s="479">
        <v>2880</v>
      </c>
      <c r="G3" s="481">
        <v>98</v>
      </c>
      <c r="H3" s="482">
        <v>293.99999999999994</v>
      </c>
      <c r="I3" s="483">
        <v>489.99999999999994</v>
      </c>
      <c r="J3" s="484">
        <v>100416</v>
      </c>
    </row>
    <row r="4" spans="1:10" x14ac:dyDescent="0.2">
      <c r="A4" s="87">
        <v>239</v>
      </c>
      <c r="B4" s="88" t="s">
        <v>720</v>
      </c>
      <c r="C4" s="88" t="s">
        <v>721</v>
      </c>
      <c r="D4" s="484">
        <v>750</v>
      </c>
      <c r="E4" s="484">
        <v>1200</v>
      </c>
      <c r="F4" s="485">
        <v>4050</v>
      </c>
      <c r="G4" s="486">
        <v>120</v>
      </c>
      <c r="H4" s="487">
        <v>360</v>
      </c>
      <c r="I4" s="488">
        <v>600</v>
      </c>
      <c r="J4" s="484">
        <v>482640</v>
      </c>
    </row>
    <row r="5" spans="1:10" x14ac:dyDescent="0.2">
      <c r="A5" s="87">
        <v>241</v>
      </c>
      <c r="B5" s="88" t="s">
        <v>722</v>
      </c>
      <c r="C5" s="88" t="s">
        <v>723</v>
      </c>
      <c r="D5" s="484">
        <v>200</v>
      </c>
      <c r="E5" s="484">
        <v>294</v>
      </c>
      <c r="F5" s="485">
        <v>1020</v>
      </c>
      <c r="G5" s="486">
        <v>29.400000000000002</v>
      </c>
      <c r="H5" s="487">
        <v>88.2</v>
      </c>
      <c r="I5" s="488">
        <v>147</v>
      </c>
      <c r="J5" s="484">
        <v>294676.40000000002</v>
      </c>
    </row>
    <row r="6" spans="1:10" x14ac:dyDescent="0.2">
      <c r="A6" s="87">
        <v>242</v>
      </c>
      <c r="B6" s="88" t="s">
        <v>722</v>
      </c>
      <c r="C6" s="88" t="s">
        <v>724</v>
      </c>
      <c r="D6" s="484">
        <v>120</v>
      </c>
      <c r="E6" s="484">
        <v>300</v>
      </c>
      <c r="F6" s="485">
        <v>630</v>
      </c>
      <c r="G6" s="486">
        <v>30</v>
      </c>
      <c r="H6" s="487">
        <v>90</v>
      </c>
      <c r="I6" s="488">
        <v>150</v>
      </c>
      <c r="J6" s="484">
        <v>136500</v>
      </c>
    </row>
    <row r="7" spans="1:10" x14ac:dyDescent="0.2">
      <c r="A7" s="87">
        <v>249</v>
      </c>
      <c r="B7" s="88" t="s">
        <v>725</v>
      </c>
      <c r="C7" s="88" t="s">
        <v>726</v>
      </c>
      <c r="D7" s="484">
        <v>120</v>
      </c>
      <c r="E7" s="484">
        <v>300</v>
      </c>
      <c r="F7" s="485">
        <v>630</v>
      </c>
      <c r="G7" s="486">
        <v>30</v>
      </c>
      <c r="H7" s="487">
        <v>90</v>
      </c>
      <c r="I7" s="488">
        <v>150</v>
      </c>
      <c r="J7" s="484">
        <v>50370</v>
      </c>
    </row>
    <row r="8" spans="1:10" x14ac:dyDescent="0.2">
      <c r="A8" s="87">
        <v>406</v>
      </c>
      <c r="B8" s="88" t="s">
        <v>722</v>
      </c>
      <c r="C8" s="88" t="s">
        <v>727</v>
      </c>
      <c r="D8" s="88" t="s">
        <v>728</v>
      </c>
      <c r="E8" s="484">
        <v>1080</v>
      </c>
      <c r="F8" s="489" t="s">
        <v>728</v>
      </c>
      <c r="G8" s="486">
        <v>108</v>
      </c>
      <c r="H8" s="487">
        <v>324</v>
      </c>
      <c r="I8" s="488">
        <v>540</v>
      </c>
      <c r="J8" s="484">
        <v>113400</v>
      </c>
    </row>
    <row r="9" spans="1:10" x14ac:dyDescent="0.2">
      <c r="A9" s="87">
        <v>410</v>
      </c>
      <c r="B9" s="88" t="s">
        <v>725</v>
      </c>
      <c r="C9" s="88" t="s">
        <v>729</v>
      </c>
      <c r="D9" s="88" t="s">
        <v>728</v>
      </c>
      <c r="E9" s="484">
        <v>3750</v>
      </c>
      <c r="F9" s="489" t="s">
        <v>728</v>
      </c>
      <c r="G9" s="486">
        <v>375</v>
      </c>
      <c r="H9" s="487">
        <v>1125</v>
      </c>
      <c r="I9" s="488">
        <v>1875</v>
      </c>
      <c r="J9" s="484">
        <v>49500</v>
      </c>
    </row>
    <row r="10" spans="1:10" x14ac:dyDescent="0.2">
      <c r="A10" s="87">
        <v>412</v>
      </c>
      <c r="B10" s="88" t="s">
        <v>725</v>
      </c>
      <c r="C10" s="88" t="s">
        <v>730</v>
      </c>
      <c r="D10" s="88" t="s">
        <v>728</v>
      </c>
      <c r="E10" s="484">
        <v>1200</v>
      </c>
      <c r="F10" s="489" t="s">
        <v>728</v>
      </c>
      <c r="G10" s="486">
        <v>120.00000000000003</v>
      </c>
      <c r="H10" s="487">
        <v>360.00000000000006</v>
      </c>
      <c r="I10" s="488">
        <v>600.00000000000011</v>
      </c>
      <c r="J10" s="484">
        <v>9720.0000000000018</v>
      </c>
    </row>
    <row r="11" spans="1:10" x14ac:dyDescent="0.2">
      <c r="A11" s="87">
        <v>413</v>
      </c>
      <c r="B11" s="88" t="s">
        <v>725</v>
      </c>
      <c r="C11" s="88" t="s">
        <v>731</v>
      </c>
      <c r="D11" s="88" t="s">
        <v>728</v>
      </c>
      <c r="E11" s="484">
        <v>600</v>
      </c>
      <c r="F11" s="489" t="s">
        <v>728</v>
      </c>
      <c r="G11" s="486">
        <v>60.000000000000014</v>
      </c>
      <c r="H11" s="487">
        <v>180.00000000000003</v>
      </c>
      <c r="I11" s="488">
        <v>300.00000000000006</v>
      </c>
      <c r="J11" s="484">
        <v>4320.0000000000009</v>
      </c>
    </row>
    <row r="12" spans="1:10" x14ac:dyDescent="0.2">
      <c r="A12" s="87">
        <v>415</v>
      </c>
      <c r="B12" s="88" t="s">
        <v>725</v>
      </c>
      <c r="C12" s="88" t="s">
        <v>732</v>
      </c>
      <c r="D12" s="484">
        <v>600</v>
      </c>
      <c r="E12" s="484">
        <v>2070</v>
      </c>
      <c r="F12" s="485">
        <v>5600</v>
      </c>
      <c r="G12" s="486">
        <v>207</v>
      </c>
      <c r="H12" s="487">
        <v>621</v>
      </c>
      <c r="I12" s="488">
        <v>1035</v>
      </c>
      <c r="J12" s="484">
        <v>159901</v>
      </c>
    </row>
    <row r="13" spans="1:10" x14ac:dyDescent="0.2">
      <c r="A13" s="87">
        <v>416</v>
      </c>
      <c r="B13" s="88" t="s">
        <v>725</v>
      </c>
      <c r="C13" s="88" t="s">
        <v>733</v>
      </c>
      <c r="D13" s="88" t="s">
        <v>728</v>
      </c>
      <c r="E13" s="484">
        <v>2160</v>
      </c>
      <c r="F13" s="489" t="s">
        <v>728</v>
      </c>
      <c r="G13" s="486">
        <v>216</v>
      </c>
      <c r="H13" s="487">
        <v>648</v>
      </c>
      <c r="I13" s="488">
        <v>1080</v>
      </c>
      <c r="J13" s="484">
        <v>122040</v>
      </c>
    </row>
    <row r="14" spans="1:10" x14ac:dyDescent="0.2">
      <c r="A14" s="87">
        <v>418</v>
      </c>
      <c r="B14" s="88" t="s">
        <v>725</v>
      </c>
      <c r="C14" s="88" t="s">
        <v>734</v>
      </c>
      <c r="D14" s="88" t="s">
        <v>728</v>
      </c>
      <c r="E14" s="484">
        <v>1680</v>
      </c>
      <c r="F14" s="489" t="s">
        <v>728</v>
      </c>
      <c r="G14" s="486">
        <v>168</v>
      </c>
      <c r="H14" s="487">
        <v>504</v>
      </c>
      <c r="I14" s="488">
        <v>840</v>
      </c>
      <c r="J14" s="484">
        <v>47880</v>
      </c>
    </row>
    <row r="15" spans="1:10" x14ac:dyDescent="0.2">
      <c r="A15" s="87">
        <v>420</v>
      </c>
      <c r="B15" s="88" t="s">
        <v>725</v>
      </c>
      <c r="C15" s="88" t="s">
        <v>735</v>
      </c>
      <c r="D15" s="484">
        <v>360</v>
      </c>
      <c r="E15" s="484">
        <v>840</v>
      </c>
      <c r="F15" s="485">
        <v>2100</v>
      </c>
      <c r="G15" s="486">
        <v>84</v>
      </c>
      <c r="H15" s="487">
        <v>252</v>
      </c>
      <c r="I15" s="488">
        <v>420</v>
      </c>
      <c r="J15" s="484">
        <v>22272</v>
      </c>
    </row>
    <row r="16" spans="1:10" x14ac:dyDescent="0.2">
      <c r="A16" s="87">
        <v>453</v>
      </c>
      <c r="B16" s="88" t="s">
        <v>736</v>
      </c>
      <c r="C16" s="88" t="s">
        <v>737</v>
      </c>
      <c r="D16" s="88" t="s">
        <v>728</v>
      </c>
      <c r="E16" s="484">
        <v>1360</v>
      </c>
      <c r="F16" s="489" t="s">
        <v>728</v>
      </c>
      <c r="G16" s="486">
        <v>135.99999999999997</v>
      </c>
      <c r="H16" s="487">
        <v>407.99999999999994</v>
      </c>
      <c r="I16" s="488">
        <v>679.99999999999989</v>
      </c>
      <c r="J16" s="484">
        <v>61471.999999999985</v>
      </c>
    </row>
    <row r="17" spans="1:10" x14ac:dyDescent="0.2">
      <c r="A17" s="87">
        <v>462</v>
      </c>
      <c r="B17" s="88" t="s">
        <v>736</v>
      </c>
      <c r="C17" s="88" t="s">
        <v>738</v>
      </c>
      <c r="D17" s="88" t="s">
        <v>728</v>
      </c>
      <c r="E17" s="484">
        <v>540</v>
      </c>
      <c r="F17" s="489" t="s">
        <v>728</v>
      </c>
      <c r="G17" s="486">
        <v>53.999999999999993</v>
      </c>
      <c r="H17" s="487">
        <v>161.99999999999997</v>
      </c>
      <c r="I17" s="488">
        <v>269.99999999999994</v>
      </c>
      <c r="J17" s="484">
        <v>6047.9999999999982</v>
      </c>
    </row>
    <row r="18" spans="1:10" x14ac:dyDescent="0.2">
      <c r="A18" s="87">
        <v>481</v>
      </c>
      <c r="B18" s="88" t="s">
        <v>720</v>
      </c>
      <c r="C18" s="88" t="s">
        <v>739</v>
      </c>
      <c r="D18" s="484">
        <v>120</v>
      </c>
      <c r="E18" s="484">
        <v>630</v>
      </c>
      <c r="F18" s="485">
        <v>1050</v>
      </c>
      <c r="G18" s="486">
        <v>63</v>
      </c>
      <c r="H18" s="487">
        <v>189</v>
      </c>
      <c r="I18" s="488">
        <v>315</v>
      </c>
      <c r="J18" s="484">
        <v>37476</v>
      </c>
    </row>
    <row r="19" spans="1:10" x14ac:dyDescent="0.2">
      <c r="A19" s="87">
        <v>483</v>
      </c>
      <c r="B19" s="88" t="s">
        <v>720</v>
      </c>
      <c r="C19" s="88" t="s">
        <v>740</v>
      </c>
      <c r="D19" s="88" t="s">
        <v>741</v>
      </c>
      <c r="E19" s="484">
        <v>300</v>
      </c>
      <c r="F19" s="489" t="s">
        <v>742</v>
      </c>
      <c r="G19" s="486">
        <v>30.000000000000007</v>
      </c>
      <c r="H19" s="487">
        <v>90.000000000000014</v>
      </c>
      <c r="I19" s="488">
        <v>150.00000000000003</v>
      </c>
      <c r="J19" s="484">
        <v>7830.0000000000009</v>
      </c>
    </row>
    <row r="20" spans="1:10" x14ac:dyDescent="0.2">
      <c r="A20" s="87">
        <v>498</v>
      </c>
      <c r="B20" s="88" t="s">
        <v>720</v>
      </c>
      <c r="C20" s="88" t="s">
        <v>743</v>
      </c>
      <c r="D20" s="484">
        <v>75</v>
      </c>
      <c r="E20" s="484">
        <v>225</v>
      </c>
      <c r="F20" s="485">
        <v>708.3</v>
      </c>
      <c r="G20" s="486">
        <v>22.5</v>
      </c>
      <c r="H20" s="487">
        <v>67.5</v>
      </c>
      <c r="I20" s="488">
        <v>112.5</v>
      </c>
      <c r="J20" s="484">
        <v>48457.2</v>
      </c>
    </row>
    <row r="21" spans="1:10" x14ac:dyDescent="0.2">
      <c r="A21" s="87">
        <v>952</v>
      </c>
      <c r="B21" s="88" t="s">
        <v>736</v>
      </c>
      <c r="C21" s="88" t="s">
        <v>744</v>
      </c>
      <c r="D21" s="484">
        <v>237.6</v>
      </c>
      <c r="E21" s="484">
        <v>495</v>
      </c>
      <c r="F21" s="485">
        <v>1815</v>
      </c>
      <c r="G21" s="486">
        <v>49.5</v>
      </c>
      <c r="H21" s="487">
        <v>148.5</v>
      </c>
      <c r="I21" s="488">
        <v>247.5</v>
      </c>
      <c r="J21" s="484">
        <v>42028.800000000003</v>
      </c>
    </row>
    <row r="22" spans="1:10" x14ac:dyDescent="0.2">
      <c r="A22" s="87">
        <v>954</v>
      </c>
      <c r="B22" s="88" t="s">
        <v>736</v>
      </c>
      <c r="C22" s="88" t="s">
        <v>745</v>
      </c>
      <c r="D22" s="484">
        <v>237.6</v>
      </c>
      <c r="E22" s="484">
        <v>495</v>
      </c>
      <c r="F22" s="485">
        <v>1650</v>
      </c>
      <c r="G22" s="486">
        <v>49.5</v>
      </c>
      <c r="H22" s="487">
        <v>148.5</v>
      </c>
      <c r="I22" s="488">
        <v>247.5</v>
      </c>
      <c r="J22" s="484">
        <v>71728.800000000003</v>
      </c>
    </row>
    <row r="23" spans="1:10" x14ac:dyDescent="0.2">
      <c r="A23" s="87">
        <v>955</v>
      </c>
      <c r="B23" s="88" t="s">
        <v>736</v>
      </c>
      <c r="C23" s="88" t="s">
        <v>746</v>
      </c>
      <c r="D23" s="484">
        <v>173.4</v>
      </c>
      <c r="E23" s="484">
        <v>420</v>
      </c>
      <c r="F23" s="485">
        <v>982.8</v>
      </c>
      <c r="G23" s="486">
        <v>42</v>
      </c>
      <c r="H23" s="487">
        <v>126</v>
      </c>
      <c r="I23" s="488">
        <v>210</v>
      </c>
      <c r="J23" s="484">
        <v>54525</v>
      </c>
    </row>
    <row r="24" spans="1:10" x14ac:dyDescent="0.2">
      <c r="A24" s="87">
        <v>965</v>
      </c>
      <c r="B24" s="88" t="s">
        <v>736</v>
      </c>
      <c r="C24" s="88" t="s">
        <v>747</v>
      </c>
      <c r="D24" s="484">
        <v>38.25</v>
      </c>
      <c r="E24" s="484">
        <v>75</v>
      </c>
      <c r="F24" s="485">
        <v>270</v>
      </c>
      <c r="G24" s="486">
        <v>7.5</v>
      </c>
      <c r="H24" s="487">
        <v>22.5</v>
      </c>
      <c r="I24" s="488">
        <v>37.5</v>
      </c>
      <c r="J24" s="484">
        <v>12033</v>
      </c>
    </row>
    <row r="25" spans="1:10" x14ac:dyDescent="0.2">
      <c r="A25" s="87">
        <v>966</v>
      </c>
      <c r="B25" s="88" t="s">
        <v>736</v>
      </c>
      <c r="C25" s="88" t="s">
        <v>748</v>
      </c>
      <c r="D25" s="484">
        <v>38.25</v>
      </c>
      <c r="E25" s="484">
        <v>150</v>
      </c>
      <c r="F25" s="485">
        <v>900</v>
      </c>
      <c r="G25" s="486">
        <v>15</v>
      </c>
      <c r="H25" s="487">
        <v>45</v>
      </c>
      <c r="I25" s="488">
        <v>75</v>
      </c>
      <c r="J25" s="484">
        <v>13852.5</v>
      </c>
    </row>
    <row r="26" spans="1:10" x14ac:dyDescent="0.2">
      <c r="A26" s="87">
        <v>967</v>
      </c>
      <c r="B26" s="88" t="s">
        <v>736</v>
      </c>
      <c r="C26" s="88" t="s">
        <v>749</v>
      </c>
      <c r="D26" s="484">
        <v>38.25</v>
      </c>
      <c r="E26" s="484">
        <v>165</v>
      </c>
      <c r="F26" s="485">
        <v>420</v>
      </c>
      <c r="G26" s="486">
        <v>16.5</v>
      </c>
      <c r="H26" s="487">
        <v>49.5</v>
      </c>
      <c r="I26" s="488">
        <v>82.5</v>
      </c>
      <c r="J26" s="484">
        <v>31763.25</v>
      </c>
    </row>
    <row r="27" spans="1:10" x14ac:dyDescent="0.2">
      <c r="A27" s="87">
        <v>992</v>
      </c>
      <c r="B27" s="88" t="s">
        <v>720</v>
      </c>
      <c r="C27" s="88" t="s">
        <v>750</v>
      </c>
      <c r="D27" s="484">
        <v>255</v>
      </c>
      <c r="E27" s="484">
        <v>570</v>
      </c>
      <c r="F27" s="485">
        <v>1080</v>
      </c>
      <c r="G27" s="486">
        <v>56.999999999999993</v>
      </c>
      <c r="H27" s="487">
        <v>170.99999999999997</v>
      </c>
      <c r="I27" s="488">
        <v>284.99999999999994</v>
      </c>
      <c r="J27" s="484">
        <v>86685</v>
      </c>
    </row>
    <row r="28" spans="1:10" x14ac:dyDescent="0.2">
      <c r="A28" s="87">
        <v>993</v>
      </c>
      <c r="B28" s="88" t="s">
        <v>720</v>
      </c>
      <c r="C28" s="88" t="s">
        <v>751</v>
      </c>
      <c r="D28" s="484">
        <v>255</v>
      </c>
      <c r="E28" s="484">
        <v>570</v>
      </c>
      <c r="F28" s="485">
        <v>1080</v>
      </c>
      <c r="G28" s="486">
        <v>56.999999999999993</v>
      </c>
      <c r="H28" s="487">
        <v>170.99999999999997</v>
      </c>
      <c r="I28" s="488">
        <v>284.99999999999994</v>
      </c>
      <c r="J28" s="484">
        <v>75840</v>
      </c>
    </row>
    <row r="29" spans="1:10" x14ac:dyDescent="0.2">
      <c r="A29" s="490">
        <v>1025</v>
      </c>
      <c r="B29" s="491" t="s">
        <v>736</v>
      </c>
      <c r="C29" s="491" t="s">
        <v>752</v>
      </c>
      <c r="D29" s="492">
        <v>510</v>
      </c>
      <c r="E29" s="492">
        <v>900</v>
      </c>
      <c r="F29" s="493">
        <v>2268</v>
      </c>
      <c r="G29" s="486">
        <v>89.999999999999986</v>
      </c>
      <c r="H29" s="487">
        <v>269.99999999999994</v>
      </c>
      <c r="I29" s="488">
        <v>449.99999999999989</v>
      </c>
      <c r="J29" s="484">
        <v>46872</v>
      </c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494">
        <f>SUM(J3:J29)</f>
        <v>2190246.9500000002</v>
      </c>
    </row>
    <row r="33" spans="5:7" x14ac:dyDescent="0.2">
      <c r="E33" s="498">
        <f>3244/E8</f>
        <v>3.0037037037037035</v>
      </c>
    </row>
    <row r="34" spans="5:7" x14ac:dyDescent="0.2">
      <c r="G34" s="503">
        <f>G4*4</f>
        <v>480</v>
      </c>
    </row>
    <row r="35" spans="5:7" x14ac:dyDescent="0.2">
      <c r="G35" s="503">
        <f>G34+H4</f>
        <v>840</v>
      </c>
    </row>
    <row r="40" spans="5:7" x14ac:dyDescent="0.2">
      <c r="E40" s="498"/>
    </row>
  </sheetData>
  <mergeCells count="2">
    <mergeCell ref="D1:F1"/>
    <mergeCell ref="G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E8B2-37A1-43FD-AFA5-3BAA275445C5}">
  <sheetPr codeName="Foglio6"/>
  <dimension ref="A1:AT65"/>
  <sheetViews>
    <sheetView tabSelected="1" zoomScaleNormal="100" workbookViewId="0">
      <pane xSplit="6" ySplit="2" topLeftCell="G42" activePane="bottomRight" state="frozen"/>
      <selection pane="topRight" activeCell="D1" sqref="D1"/>
      <selection pane="bottomLeft" activeCell="A3" sqref="A3"/>
      <selection pane="bottomRight" activeCell="E63" sqref="E63"/>
    </sheetView>
  </sheetViews>
  <sheetFormatPr baseColWidth="10" defaultColWidth="12.5" defaultRowHeight="14" outlineLevelCol="1" x14ac:dyDescent="0.2"/>
  <cols>
    <col min="1" max="1" width="7.83203125" style="2" customWidth="1"/>
    <col min="2" max="2" width="14.5" style="2" customWidth="1"/>
    <col min="3" max="3" width="15.5" style="2" customWidth="1"/>
    <col min="4" max="4" width="0.1640625" style="2" customWidth="1"/>
    <col min="5" max="5" width="49.1640625" style="12" bestFit="1" customWidth="1"/>
    <col min="6" max="6" width="13.1640625" style="2" bestFit="1" customWidth="1"/>
    <col min="7" max="7" width="10.5" style="2" customWidth="1"/>
    <col min="8" max="8" width="10.83203125" style="2" customWidth="1"/>
    <col min="9" max="9" width="11.83203125" style="4" customWidth="1"/>
    <col min="10" max="10" width="10.6640625" style="4" customWidth="1"/>
    <col min="11" max="11" width="7.83203125" style="4" bestFit="1" customWidth="1"/>
    <col min="12" max="12" width="19.5" style="12" customWidth="1"/>
    <col min="13" max="13" width="14.6640625" style="2" customWidth="1"/>
    <col min="14" max="14" width="9.33203125" style="2" customWidth="1"/>
    <col min="15" max="15" width="17" style="2" customWidth="1"/>
    <col min="16" max="17" width="10.83203125" style="2" customWidth="1"/>
    <col min="18" max="19" width="13" style="2" customWidth="1"/>
    <col min="20" max="21" width="10.83203125" style="2" customWidth="1"/>
    <col min="22" max="22" width="16.33203125" style="2" customWidth="1"/>
    <col min="23" max="23" width="10.83203125" style="2" customWidth="1"/>
    <col min="24" max="29" width="11.6640625" style="4" customWidth="1"/>
    <col min="30" max="30" width="16.1640625" style="2" customWidth="1"/>
    <col min="31" max="32" width="14.6640625" style="2" customWidth="1"/>
    <col min="33" max="33" width="15.1640625" style="2" customWidth="1"/>
    <col min="34" max="35" width="27.33203125" style="2" hidden="1" customWidth="1"/>
    <col min="36" max="36" width="12.5" style="2" customWidth="1"/>
    <col min="37" max="38" width="12.5" style="2" customWidth="1" outlineLevel="1"/>
    <col min="39" max="39" width="14.1640625" style="2" customWidth="1" outlineLevel="1"/>
    <col min="40" max="42" width="12.5" style="2" customWidth="1" outlineLevel="1"/>
    <col min="43" max="16384" width="12.5" style="2"/>
  </cols>
  <sheetData>
    <row r="1" spans="1:46" ht="15" thickBot="1" x14ac:dyDescent="0.25">
      <c r="AJ1" s="2" t="s">
        <v>0</v>
      </c>
    </row>
    <row r="2" spans="1:46" s="141" customFormat="1" ht="33.5" customHeight="1" thickBot="1" x14ac:dyDescent="0.25">
      <c r="A2" s="261" t="s">
        <v>132</v>
      </c>
      <c r="B2" s="261" t="s">
        <v>628</v>
      </c>
      <c r="C2" s="261" t="s">
        <v>631</v>
      </c>
      <c r="D2" s="422" t="s">
        <v>629</v>
      </c>
      <c r="E2" s="261" t="s">
        <v>2</v>
      </c>
      <c r="F2" s="261" t="s">
        <v>3</v>
      </c>
      <c r="G2" s="261" t="s">
        <v>4</v>
      </c>
      <c r="H2" s="261" t="s">
        <v>705</v>
      </c>
      <c r="I2" s="261" t="s">
        <v>630</v>
      </c>
      <c r="J2" s="261" t="s">
        <v>1066</v>
      </c>
      <c r="K2" s="261" t="s">
        <v>693</v>
      </c>
      <c r="L2" s="261" t="s">
        <v>15</v>
      </c>
      <c r="M2" s="262" t="s">
        <v>20</v>
      </c>
      <c r="N2" s="262" t="s">
        <v>104</v>
      </c>
      <c r="O2" s="262" t="s">
        <v>95</v>
      </c>
      <c r="P2" s="262" t="s">
        <v>18</v>
      </c>
      <c r="Q2" s="262" t="s">
        <v>867</v>
      </c>
      <c r="R2" s="262" t="s">
        <v>17</v>
      </c>
      <c r="S2" s="262" t="s">
        <v>16</v>
      </c>
      <c r="T2" s="261" t="s">
        <v>87</v>
      </c>
      <c r="U2" s="421" t="s">
        <v>21</v>
      </c>
      <c r="V2" s="421" t="s">
        <v>622</v>
      </c>
      <c r="W2" s="421" t="s">
        <v>19</v>
      </c>
      <c r="X2" s="261" t="s">
        <v>5</v>
      </c>
      <c r="Y2" s="261" t="s">
        <v>6</v>
      </c>
      <c r="Z2" s="261" t="s">
        <v>7</v>
      </c>
      <c r="AA2" s="261" t="s">
        <v>8</v>
      </c>
      <c r="AB2" s="261" t="s">
        <v>9</v>
      </c>
      <c r="AC2" s="261" t="s">
        <v>10</v>
      </c>
      <c r="AD2" s="420" t="s">
        <v>11</v>
      </c>
      <c r="AE2" s="420" t="s">
        <v>12</v>
      </c>
      <c r="AF2" s="420" t="s">
        <v>13</v>
      </c>
      <c r="AG2" s="420" t="s">
        <v>14</v>
      </c>
      <c r="AH2" s="262" t="s">
        <v>985</v>
      </c>
      <c r="AI2" s="262" t="s">
        <v>990</v>
      </c>
      <c r="AJ2" s="263" t="s">
        <v>0</v>
      </c>
      <c r="AK2" s="263" t="s">
        <v>89</v>
      </c>
      <c r="AL2" s="264" t="s">
        <v>88</v>
      </c>
      <c r="AM2" s="265" t="s">
        <v>67</v>
      </c>
      <c r="AN2" s="265" t="s">
        <v>68</v>
      </c>
      <c r="AO2" s="265" t="s">
        <v>69</v>
      </c>
      <c r="AP2" s="265" t="s">
        <v>70</v>
      </c>
    </row>
    <row r="3" spans="1:46" s="267" customFormat="1" ht="16.25" customHeight="1" x14ac:dyDescent="0.2">
      <c r="A3" s="3">
        <v>1</v>
      </c>
      <c r="B3" s="3">
        <v>137341</v>
      </c>
      <c r="C3" s="266" t="s">
        <v>40</v>
      </c>
      <c r="D3" s="3" t="str">
        <f>CONCATENATE(MEV[[#This Row],[GoTo]],"_",MEV[[#This Row],[Applicativo]])</f>
        <v>137341_WIPI</v>
      </c>
      <c r="E3" s="8" t="s">
        <v>982</v>
      </c>
      <c r="F3" s="267" t="s">
        <v>32</v>
      </c>
      <c r="G3" s="267" t="s">
        <v>24</v>
      </c>
      <c r="H3" s="3">
        <v>2026</v>
      </c>
      <c r="I3" s="3" t="s">
        <v>983</v>
      </c>
      <c r="J3" s="3" t="s">
        <v>288</v>
      </c>
      <c r="K3" s="3"/>
      <c r="L3" s="268" t="s">
        <v>25</v>
      </c>
      <c r="M3" s="507">
        <v>9951.89</v>
      </c>
      <c r="N3" s="6" t="s">
        <v>623</v>
      </c>
      <c r="O3" s="6">
        <f>IF(MEV[[#This Row],[Importo Fornitura]]&gt;0,MEV[[#This Row],[Importo Fornitura]]-(MEV[[#This Row],[Importo Fornitura]]*VLOOKUP(MEV[[#This Row],[Tipo Contratto]],CONTRATTO!$B$4:$F$15,5,FALSE)),"")</f>
        <v>9951.89</v>
      </c>
      <c r="P3" s="269" t="s">
        <v>961</v>
      </c>
      <c r="Q3" s="269"/>
      <c r="R3" s="269"/>
      <c r="S3" s="269"/>
      <c r="T3" s="3"/>
      <c r="U3" s="267" t="e">
        <f>VLOOKUP(MEV[[#This Row],[X ORDINE]],ORDINI!$A$2:$I$26,2,FALSE)</f>
        <v>#N/A</v>
      </c>
      <c r="V3" s="270" t="e">
        <f>VLOOKUP(MEV[[#This Row],[BC]],CONTRATTO!$B$20:$C$60,2,FALSE)</f>
        <v>#N/A</v>
      </c>
      <c r="W3" s="3" t="e">
        <f>VLOOKUP(MEV[[#This Row],[BC]],CONTRATTO!$B$20:$E$60,4,FALSE)</f>
        <v>#N/A</v>
      </c>
      <c r="X3" s="499">
        <v>1.2110000000000001</v>
      </c>
      <c r="Y3" s="499">
        <v>0</v>
      </c>
      <c r="Z3" s="499">
        <v>0.27400000000000002</v>
      </c>
      <c r="AA3" s="499">
        <v>0.33200000000000002</v>
      </c>
      <c r="AB3" s="496">
        <v>4320</v>
      </c>
      <c r="AC3" s="500"/>
      <c r="AD3" s="6">
        <f>MEV[[#This Row],[TOW02.1]]*CONTRATTO!$D$71+MEV[[#This Row],[TOW02.2]]*CONTRATTO!$D$72+MEV[[#This Row],[TOW02.3]]*CONTRATTO!$D$73+MEV[[#This Row],[TOW02.4]]*CONTRATTO!$D$74+MEV[[#This Row],[TOW02.5]]+MEV[[#This Row],[TOW02.6]]*CONTRATTO!$D$76</f>
        <v>9951.8850000000002</v>
      </c>
      <c r="AE3" s="6">
        <f>SUMIF(ORDINI[MEV],MEV[[#This Row],[X ORDINE]],ORDINI[Valore Posizione])</f>
        <v>0</v>
      </c>
      <c r="AF3" s="6">
        <f>SUMIF(ORDINI[MEV],MEV[[#This Row],[X ORDINE]],ORDINI[Totale Fatturato])</f>
        <v>0</v>
      </c>
      <c r="AG3" s="6">
        <f>MEV[[#This Row],[Ordinato (BdO)]]-MEV[[#This Row],[Fatturato]]</f>
        <v>0</v>
      </c>
      <c r="AH3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"&amp;E3&amp;".xlsx","")</f>
        <v>https://capgemini.sharepoint.com/:f:/r/sites/LOGISTICA-GOVERNANCE2/Shared%20Documents/General/GARA%202025/ECONOMICS/TabelleOfferte/R.26.03_EXTRA/Tabella Offerta - 137341_WIPI -  Elaborazione REVERSE ITZ PLUS_rev.xlsx</v>
      </c>
      <c r="AR3" s="502"/>
      <c r="AT3" s="502"/>
    </row>
    <row r="4" spans="1:46" s="267" customFormat="1" ht="16.25" customHeight="1" x14ac:dyDescent="0.2">
      <c r="A4" s="3">
        <f>A3+1</f>
        <v>2</v>
      </c>
      <c r="B4" s="3">
        <v>137341</v>
      </c>
      <c r="C4" s="266" t="s">
        <v>40</v>
      </c>
      <c r="D4" s="3" t="str">
        <f>CONCATENATE(MEV[[#This Row],[GoTo]],"_",MEV[[#This Row],[Applicativo]])</f>
        <v>137341_WIPI</v>
      </c>
      <c r="E4" s="8" t="s">
        <v>986</v>
      </c>
      <c r="F4" s="267" t="s">
        <v>32</v>
      </c>
      <c r="G4" s="267" t="s">
        <v>24</v>
      </c>
      <c r="H4" s="3">
        <v>2026</v>
      </c>
      <c r="I4" s="3" t="s">
        <v>983</v>
      </c>
      <c r="J4" s="3" t="s">
        <v>288</v>
      </c>
      <c r="K4" s="3"/>
      <c r="L4" s="268" t="s">
        <v>25</v>
      </c>
      <c r="M4" s="507">
        <v>3322.13</v>
      </c>
      <c r="N4" s="6" t="s">
        <v>623</v>
      </c>
      <c r="O4" s="6">
        <f>IF(MEV[[#This Row],[Importo Fornitura]]&gt;0,MEV[[#This Row],[Importo Fornitura]]-(MEV[[#This Row],[Importo Fornitura]]*VLOOKUP(MEV[[#This Row],[Tipo Contratto]],CONTRATTO!$B$4:$F$15,5,FALSE)),"")</f>
        <v>3322.13</v>
      </c>
      <c r="P4" s="269" t="s">
        <v>962</v>
      </c>
      <c r="Q4" s="269"/>
      <c r="R4" s="269"/>
      <c r="S4" s="269"/>
      <c r="T4" s="3"/>
      <c r="U4" s="267" t="e">
        <f>VLOOKUP(MEV[[#This Row],[X ORDINE]],ORDINI!$A$2:$I$26,2,FALSE)</f>
        <v>#N/A</v>
      </c>
      <c r="V4" s="270" t="e">
        <f>VLOOKUP(MEV[[#This Row],[BC]],CONTRATTO!$B$20:$C$60,2,FALSE)</f>
        <v>#N/A</v>
      </c>
      <c r="W4" s="3" t="e">
        <f>VLOOKUP(MEV[[#This Row],[BC]],CONTRATTO!$B$20:$E$60,4,FALSE)</f>
        <v>#N/A</v>
      </c>
      <c r="X4" s="495">
        <v>0.14699999999999999</v>
      </c>
      <c r="Y4" s="495">
        <v>0</v>
      </c>
      <c r="Z4" s="495">
        <v>0.13700000000000001</v>
      </c>
      <c r="AA4" s="495">
        <v>0.16600000000000001</v>
      </c>
      <c r="AB4" s="496">
        <v>2160</v>
      </c>
      <c r="AC4" s="497"/>
      <c r="AD4" s="6">
        <f>MEV[[#This Row],[TOW02.1]]*CONTRATTO!$D$71+MEV[[#This Row],[TOW02.2]]*CONTRATTO!$D$72+MEV[[#This Row],[TOW02.3]]*CONTRATTO!$D$73+MEV[[#This Row],[TOW02.4]]*CONTRATTO!$D$74+MEV[[#This Row],[TOW02.5]]+MEV[[#This Row],[TOW02.6]]*CONTRATTO!$D$76</f>
        <v>3322.1329999999998</v>
      </c>
      <c r="AE4" s="6">
        <f>SUMIF(ORDINI[MEV],MEV[[#This Row],[X ORDINE]],ORDINI[Valore Posizione])</f>
        <v>0</v>
      </c>
      <c r="AF4" s="6">
        <f>SUMIF(ORDINI[MEV],MEV[[#This Row],[X ORDINE]],ORDINI[Totale Fatturato])</f>
        <v>0</v>
      </c>
      <c r="AG4" s="6">
        <f>MEV[[#This Row],[Ordinato (BdO)]]-MEV[[#This Row],[Fatturato]]</f>
        <v>0</v>
      </c>
      <c r="AH4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"&amp;E4&amp;".xlsx","")</f>
        <v>https://capgemini.sharepoint.com/:f:/r/sites/LOGISTICA-GOVERNANCE2/Shared%20Documents/General/GARA%202025/ECONOMICS/TabelleOfferte/R.26.03_EXTRA/Tabella Offerta - 137341_WIPI -  Elaborazione REVERSE ITZ PLUS - file del 06.03_v1.xlsx</v>
      </c>
      <c r="AR4" s="267" t="s">
        <v>987</v>
      </c>
    </row>
    <row r="5" spans="1:46" s="267" customFormat="1" ht="16.25" customHeight="1" x14ac:dyDescent="0.2">
      <c r="A5" s="3">
        <f t="shared" ref="A5:A56" si="0">A4+1</f>
        <v>3</v>
      </c>
      <c r="B5" s="3" t="s">
        <v>938</v>
      </c>
      <c r="C5" s="266" t="s">
        <v>152</v>
      </c>
      <c r="D5" s="3" t="str">
        <f>CONCATENATE(MEV[[#This Row],[GoTo]],"_",MEV[[#This Row],[Applicativo]])</f>
        <v>TBD_SW_RECUPERO</v>
      </c>
      <c r="E5" s="8" t="s">
        <v>617</v>
      </c>
      <c r="F5" s="267" t="s">
        <v>162</v>
      </c>
      <c r="H5" s="3">
        <v>2026</v>
      </c>
      <c r="I5" s="3" t="s">
        <v>129</v>
      </c>
      <c r="J5" s="9" t="s">
        <v>288</v>
      </c>
      <c r="K5" s="9"/>
      <c r="L5" s="268" t="s">
        <v>25</v>
      </c>
      <c r="M5" s="6">
        <v>551000</v>
      </c>
      <c r="N5" s="6" t="s">
        <v>623</v>
      </c>
      <c r="O5" s="6">
        <f>IF(MEV[[#This Row],[Importo Fornitura]]&gt;0,MEV[[#This Row],[Importo Fornitura]]-(MEV[[#This Row],[Importo Fornitura]]*VLOOKUP(MEV[[#This Row],[Tipo Contratto]],CONTRATTO!$B$4:$F$15,5,FALSE)),"")</f>
        <v>551000</v>
      </c>
      <c r="P5" s="269"/>
      <c r="Q5" s="269"/>
      <c r="R5" s="269"/>
      <c r="S5" s="269"/>
      <c r="T5" s="3"/>
      <c r="U5" s="267" t="e">
        <f>VLOOKUP(MEV[[#This Row],[X ORDINE]],ORDINI!$A$2:$I$26,2,FALSE)</f>
        <v>#N/A</v>
      </c>
      <c r="V5" s="270" t="e">
        <f>VLOOKUP(MEV[[#This Row],[BC]],CONTRATTO!$B$20:$C$60,2,FALSE)</f>
        <v>#N/A</v>
      </c>
      <c r="W5" s="3" t="e">
        <f>VLOOKUP(MEV[[#This Row],[BC]],CONTRATTO!$B$20:$E$60,4,FALSE)</f>
        <v>#N/A</v>
      </c>
      <c r="X5" s="495"/>
      <c r="Y5" s="495"/>
      <c r="Z5" s="495"/>
      <c r="AA5" s="495"/>
      <c r="AB5" s="496"/>
      <c r="AC5" s="3"/>
      <c r="AD5" s="6">
        <f>MEV[[#This Row],[TOW02.1]]*CONTRATTO!$D$71+MEV[[#This Row],[TOW02.2]]*CONTRATTO!$D$72+MEV[[#This Row],[TOW02.3]]*CONTRATTO!$D$73+MEV[[#This Row],[TOW02.4]]*CONTRATTO!$D$74+MEV[[#This Row],[TOW02.5]]+MEV[[#This Row],[TOW02.6]]*CONTRATTO!$D$76</f>
        <v>0</v>
      </c>
      <c r="AE5" s="6">
        <f>SUMIF(ORDINI[MEV],MEV[[#This Row],[X ORDINE]],ORDINI[Valore Posizione])</f>
        <v>0</v>
      </c>
      <c r="AF5" s="6">
        <f>SUMIF(ORDINI[MEV],MEV[[#This Row],[X ORDINE]],ORDINI[Totale Fatturato])</f>
        <v>0</v>
      </c>
      <c r="AG5" s="6">
        <f>MEV[[#This Row],[Ordinato (BdO)]]-MEV[[#This Row],[Fatturato]]</f>
        <v>0</v>
      </c>
      <c r="AH5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"&amp;E5&amp;".xlsx","")</f>
        <v>https://capgemini.sharepoint.com/:f:/r/sites/LOGISTICA-GOVERNANCE2/Shared%20Documents/General/GARA%202025/ECONOMICS/TabelleOfferte/R.26.05/Tabella Offerta - TBD_SW_RECUPERO - SW.xlsx</v>
      </c>
    </row>
    <row r="6" spans="1:46" s="267" customFormat="1" ht="16.25" customHeight="1" x14ac:dyDescent="0.2">
      <c r="A6" s="3">
        <f t="shared" si="0"/>
        <v>4</v>
      </c>
      <c r="B6" s="3" t="s">
        <v>939</v>
      </c>
      <c r="C6" s="266" t="s">
        <v>152</v>
      </c>
      <c r="D6" s="3" t="str">
        <f>CONCATENATE(MEV[[#This Row],[GoTo]],"_",MEV[[#This Row],[Applicativo]])</f>
        <v>TBD_COLL_RECUPERO</v>
      </c>
      <c r="E6" s="8" t="s">
        <v>45</v>
      </c>
      <c r="F6" s="267" t="s">
        <v>162</v>
      </c>
      <c r="H6" s="3">
        <v>2026</v>
      </c>
      <c r="I6" s="3" t="s">
        <v>129</v>
      </c>
      <c r="J6" s="3" t="s">
        <v>288</v>
      </c>
      <c r="K6" s="3"/>
      <c r="L6" s="268" t="s">
        <v>25</v>
      </c>
      <c r="M6" s="6">
        <v>65000</v>
      </c>
      <c r="N6" s="6" t="s">
        <v>623</v>
      </c>
      <c r="O6" s="6">
        <f>IF(MEV[[#This Row],[Importo Fornitura]]&gt;0,MEV[[#This Row],[Importo Fornitura]]-(MEV[[#This Row],[Importo Fornitura]]*VLOOKUP(MEV[[#This Row],[Tipo Contratto]],CONTRATTO!$B$4:$F$15,5,FALSE)),"")</f>
        <v>65000</v>
      </c>
      <c r="P6" s="501"/>
      <c r="Q6" s="501"/>
      <c r="R6" s="501"/>
      <c r="S6" s="501"/>
      <c r="T6" s="3"/>
      <c r="U6" s="267" t="e">
        <f>VLOOKUP(MEV[[#This Row],[X ORDINE]],ORDINI!$A$2:$I$26,2,FALSE)</f>
        <v>#N/A</v>
      </c>
      <c r="V6" s="270" t="e">
        <f>VLOOKUP(MEV[[#This Row],[BC]],CONTRATTO!$B$20:$C$60,2,FALSE)</f>
        <v>#N/A</v>
      </c>
      <c r="W6" s="3" t="e">
        <f>VLOOKUP(MEV[[#This Row],[BC]],CONTRATTO!$B$20:$E$60,4,FALSE)</f>
        <v>#N/A</v>
      </c>
      <c r="X6" s="495"/>
      <c r="Y6" s="495"/>
      <c r="Z6" s="495"/>
      <c r="AA6" s="495"/>
      <c r="AB6" s="496"/>
      <c r="AC6" s="3"/>
      <c r="AD6" s="6">
        <f>MEV[[#This Row],[TOW02.1]]*CONTRATTO!$D$71+MEV[[#This Row],[TOW02.2]]*CONTRATTO!$D$72+MEV[[#This Row],[TOW02.3]]*CONTRATTO!$D$73+MEV[[#This Row],[TOW02.4]]*CONTRATTO!$D$74+MEV[[#This Row],[TOW02.5]]+MEV[[#This Row],[TOW02.6]]*CONTRATTO!$D$76</f>
        <v>0</v>
      </c>
      <c r="AE6" s="6">
        <f>SUMIF(ORDINI[MEV],MEV[[#This Row],[X ORDINE]],ORDINI[Valore Posizione])</f>
        <v>0</v>
      </c>
      <c r="AF6" s="6">
        <f>SUMIF(ORDINI[MEV],MEV[[#This Row],[X ORDINE]],ORDINI[Totale Fatturato])</f>
        <v>0</v>
      </c>
      <c r="AG6" s="6">
        <f>MEV[[#This Row],[Ordinato (BdO)]]-MEV[[#This Row],[Fatturato]]</f>
        <v>0</v>
      </c>
      <c r="AH6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"&amp;E6&amp;".xlsx","")</f>
        <v>https://capgemini.sharepoint.com/:f:/r/sites/LOGISTICA-GOVERNANCE2/Shared%20Documents/General/GARA%202025/ECONOMICS/TabelleOfferte/R.26.05/Tabella Offerta - TBD_COLL_RECUPERO - Collaudo.xlsx</v>
      </c>
    </row>
    <row r="7" spans="1:46" s="267" customFormat="1" ht="16.25" customHeight="1" x14ac:dyDescent="0.2">
      <c r="A7" s="3">
        <f t="shared" si="0"/>
        <v>5</v>
      </c>
      <c r="B7" s="3">
        <v>143247</v>
      </c>
      <c r="C7" s="266" t="s">
        <v>153</v>
      </c>
      <c r="D7" s="3" t="str">
        <f>CONCATENATE(MEV[[#This Row],[GoTo]],"_",MEV[[#This Row],[Applicativo]])</f>
        <v>143247_SORTING CONTROLLER</v>
      </c>
      <c r="E7" s="8" t="s">
        <v>754</v>
      </c>
      <c r="F7" s="267" t="s">
        <v>32</v>
      </c>
      <c r="G7" s="267" t="s">
        <v>24</v>
      </c>
      <c r="H7" s="3">
        <v>2026</v>
      </c>
      <c r="I7" s="475" t="s">
        <v>129</v>
      </c>
      <c r="J7" s="3" t="s">
        <v>288</v>
      </c>
      <c r="K7" s="3"/>
      <c r="L7" s="268" t="s">
        <v>25</v>
      </c>
      <c r="M7" s="507">
        <v>39673.269999999997</v>
      </c>
      <c r="N7" s="6" t="s">
        <v>623</v>
      </c>
      <c r="O7" s="6">
        <f>IF(MEV[[#This Row],[Importo Fornitura]]&gt;0,MEV[[#This Row],[Importo Fornitura]]-(MEV[[#This Row],[Importo Fornitura]]*VLOOKUP(MEV[[#This Row],[Tipo Contratto]],CONTRATTO!$B$4:$F$15,5,FALSE)),"")</f>
        <v>39673.269999999997</v>
      </c>
      <c r="P7" s="269" t="s">
        <v>872</v>
      </c>
      <c r="Q7" s="269"/>
      <c r="R7" s="269"/>
      <c r="S7" s="269"/>
      <c r="T7" s="3"/>
      <c r="U7" s="267" t="e">
        <f>VLOOKUP(MEV[[#This Row],[X ORDINE]],ORDINI!$A$2:$I$26,2,FALSE)</f>
        <v>#N/A</v>
      </c>
      <c r="V7" s="270" t="e">
        <f>VLOOKUP(MEV[[#This Row],[BC]],CONTRATTO!$B$20:$C$60,2,FALSE)</f>
        <v>#N/A</v>
      </c>
      <c r="W7" s="3" t="e">
        <f>VLOOKUP(MEV[[#This Row],[BC]],CONTRATTO!$B$20:$E$60,4,FALSE)</f>
        <v>#N/A</v>
      </c>
      <c r="X7" s="495">
        <v>2.3479999999999999</v>
      </c>
      <c r="Y7" s="495">
        <v>0</v>
      </c>
      <c r="Z7" s="495">
        <v>1.5289999999999999</v>
      </c>
      <c r="AA7" s="495">
        <v>1.8540000000000001</v>
      </c>
      <c r="AB7" s="496">
        <v>24150</v>
      </c>
      <c r="AC7" s="497"/>
      <c r="AD7" s="6">
        <f>MEV[[#This Row],[TOW02.1]]*CONTRATTO!$D$71+MEV[[#This Row],[TOW02.2]]*CONTRATTO!$D$72+MEV[[#This Row],[TOW02.3]]*CONTRATTO!$D$73+MEV[[#This Row],[TOW02.4]]*CONTRATTO!$D$74+MEV[[#This Row],[TOW02.5]]+MEV[[#This Row],[TOW02.6]]*CONTRATTO!$D$76</f>
        <v>39673.267999999996</v>
      </c>
      <c r="AE7" s="6">
        <f>SUMIF(ORDINI[MEV],MEV[[#This Row],[X ORDINE]],ORDINI[Valore Posizione])</f>
        <v>0</v>
      </c>
      <c r="AF7" s="6">
        <f>SUMIF(ORDINI[MEV],MEV[[#This Row],[X ORDINE]],ORDINI[Totale Fatturato])</f>
        <v>0</v>
      </c>
      <c r="AG7" s="6">
        <f>MEV[[#This Row],[Ordinato (BdO)]]-MEV[[#This Row],[Fatturato]]</f>
        <v>0</v>
      </c>
      <c r="AH7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"&amp;E7&amp;".xlsx","")</f>
        <v>https://capgemini.sharepoint.com/:f:/r/sites/LOGISTICA-GOVERNANCE2/Shared%20Documents/General/GARA%202025/ECONOMICS/TabelleOfferte/R.26.05/Tabella Offerta - 143247_SORTING CONTROLLER - Porting Gen 3.xlsx</v>
      </c>
      <c r="AR7" s="502" t="s">
        <v>984</v>
      </c>
    </row>
    <row r="8" spans="1:46" s="267" customFormat="1" ht="16.25" customHeight="1" x14ac:dyDescent="0.2">
      <c r="A8" s="3">
        <f t="shared" si="0"/>
        <v>6</v>
      </c>
      <c r="B8" s="3">
        <v>141780</v>
      </c>
      <c r="C8" s="266" t="s">
        <v>72</v>
      </c>
      <c r="D8" s="3" t="str">
        <f>CONCATENATE(MEV[[#This Row],[GoTo]],"_",MEV[[#This Row],[Applicativo]])</f>
        <v>141780_SAP EM / Mediation</v>
      </c>
      <c r="E8" s="8" t="s">
        <v>868</v>
      </c>
      <c r="F8" s="267" t="s">
        <v>58</v>
      </c>
      <c r="G8" s="267" t="s">
        <v>34</v>
      </c>
      <c r="H8" s="3">
        <v>2026</v>
      </c>
      <c r="I8" s="3" t="s">
        <v>134</v>
      </c>
      <c r="J8" s="3"/>
      <c r="K8" s="3"/>
      <c r="L8" s="268" t="s">
        <v>42</v>
      </c>
      <c r="M8" s="6">
        <v>0</v>
      </c>
      <c r="N8" s="6" t="s">
        <v>623</v>
      </c>
      <c r="O8" s="6" t="str">
        <f>IF(MEV[[#This Row],[Importo Fornitura]]&gt;0,MEV[[#This Row],[Importo Fornitura]]-(MEV[[#This Row],[Importo Fornitura]]*VLOOKUP(MEV[[#This Row],[Tipo Contratto]],CONTRATTO!$B$4:$F$15,5,FALSE)),"")</f>
        <v/>
      </c>
      <c r="P8" s="269" t="s">
        <v>1017</v>
      </c>
      <c r="Q8" s="269"/>
      <c r="R8" s="269"/>
      <c r="S8" s="269"/>
      <c r="T8" s="3"/>
      <c r="U8" s="267" t="e">
        <f>VLOOKUP(MEV[[#This Row],[X ORDINE]],ORDINI!$A$2:$I$26,2,FALSE)</f>
        <v>#N/A</v>
      </c>
      <c r="V8" s="270" t="e">
        <f>VLOOKUP(MEV[[#This Row],[BC]],CONTRATTO!$B$20:$C$60,2,FALSE)</f>
        <v>#N/A</v>
      </c>
      <c r="W8" s="3" t="e">
        <f>VLOOKUP(MEV[[#This Row],[BC]],CONTRATTO!$B$20:$E$60,4,FALSE)</f>
        <v>#N/A</v>
      </c>
      <c r="X8" s="271"/>
      <c r="Y8" s="271"/>
      <c r="Z8" s="271"/>
      <c r="AA8" s="271"/>
      <c r="AB8" s="404"/>
      <c r="AC8" s="272"/>
      <c r="AD8" s="6">
        <f>MEV[[#This Row],[TOW02.1]]*CONTRATTO!$D$71+MEV[[#This Row],[TOW02.2]]*CONTRATTO!$D$72+MEV[[#This Row],[TOW02.3]]*CONTRATTO!$D$73+MEV[[#This Row],[TOW02.4]]*CONTRATTO!$D$74+MEV[[#This Row],[TOW02.5]]+MEV[[#This Row],[TOW02.6]]*CONTRATTO!$D$76</f>
        <v>0</v>
      </c>
      <c r="AE8" s="6">
        <f>SUMIF(ORDINI[MEV],MEV[[#This Row],[X ORDINE]],ORDINI[Valore Posizione])</f>
        <v>0</v>
      </c>
      <c r="AF8" s="6">
        <f>SUMIF(ORDINI[MEV],MEV[[#This Row],[X ORDINE]],ORDINI[Totale Fatturato])</f>
        <v>0</v>
      </c>
      <c r="AG8" s="6">
        <f>MEV[[#This Row],[Ordinato (BdO)]]-MEV[[#This Row],[Fatturato]]</f>
        <v>0</v>
      </c>
      <c r="AH8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"&amp;E8&amp;".xlsx","")</f>
        <v/>
      </c>
    </row>
    <row r="9" spans="1:46" s="267" customFormat="1" ht="16.25" customHeight="1" x14ac:dyDescent="0.2">
      <c r="A9" s="3">
        <f t="shared" si="0"/>
        <v>7</v>
      </c>
      <c r="B9" s="3">
        <v>143578</v>
      </c>
      <c r="C9" s="266" t="s">
        <v>26</v>
      </c>
      <c r="D9" s="3" t="str">
        <f>CONCATENATE(MEV[[#This Row],[GoTo]],"_",MEV[[#This Row],[Applicativo]])</f>
        <v>143578_NPSO</v>
      </c>
      <c r="E9" s="8" t="s">
        <v>992</v>
      </c>
      <c r="F9" s="267" t="s">
        <v>43</v>
      </c>
      <c r="G9" s="267" t="s">
        <v>24</v>
      </c>
      <c r="H9" s="3">
        <v>2026</v>
      </c>
      <c r="I9" s="475" t="s">
        <v>129</v>
      </c>
      <c r="J9" s="3" t="s">
        <v>288</v>
      </c>
      <c r="K9" s="3"/>
      <c r="L9" s="268" t="s">
        <v>25</v>
      </c>
      <c r="M9" s="507">
        <v>17174.77</v>
      </c>
      <c r="N9" s="6" t="s">
        <v>623</v>
      </c>
      <c r="O9" s="6">
        <f>IF(MEV[[#This Row],[Importo Fornitura]]&gt;0,MEV[[#This Row],[Importo Fornitura]]-(MEV[[#This Row],[Importo Fornitura]]*VLOOKUP(MEV[[#This Row],[Tipo Contratto]],CONTRATTO!$B$4:$F$15,5,FALSE)),"")</f>
        <v>17174.77</v>
      </c>
      <c r="P9" s="269" t="s">
        <v>993</v>
      </c>
      <c r="Q9" s="269"/>
      <c r="R9" s="269"/>
      <c r="S9" s="269"/>
      <c r="T9" s="3"/>
      <c r="U9" s="267" t="e">
        <f>VLOOKUP(MEV[[#This Row],[X ORDINE]],ORDINI!$A$2:$I$26,2,FALSE)</f>
        <v>#N/A</v>
      </c>
      <c r="V9" s="270" t="e">
        <f>VLOOKUP(MEV[[#This Row],[BC]],CONTRATTO!$B$20:$C$60,2,FALSE)</f>
        <v>#N/A</v>
      </c>
      <c r="W9" s="3" t="e">
        <f>VLOOKUP(MEV[[#This Row],[BC]],CONTRATTO!$B$20:$E$60,4,FALSE)</f>
        <v>#N/A</v>
      </c>
      <c r="X9" s="495">
        <v>3.66</v>
      </c>
      <c r="Y9" s="495">
        <v>0</v>
      </c>
      <c r="Z9" s="495">
        <v>0.19469999999999998</v>
      </c>
      <c r="AA9" s="495">
        <v>0.23599999999999999</v>
      </c>
      <c r="AB9" s="496">
        <v>3075</v>
      </c>
      <c r="AC9" s="497"/>
      <c r="AD9" s="6">
        <f>MEV[[#This Row],[TOW02.1]]*CONTRATTO!$D$71+MEV[[#This Row],[TOW02.2]]*CONTRATTO!$D$72+MEV[[#This Row],[TOW02.3]]*CONTRATTO!$D$73+MEV[[#This Row],[TOW02.4]]*CONTRATTO!$D$74+MEV[[#This Row],[TOW02.5]]+MEV[[#This Row],[TOW02.6]]*CONTRATTO!$D$76</f>
        <v>17174.765200000002</v>
      </c>
      <c r="AE9" s="6">
        <f>SUMIF(ORDINI[MEV],MEV[[#This Row],[X ORDINE]],ORDINI[Valore Posizione])</f>
        <v>0</v>
      </c>
      <c r="AF9" s="6">
        <f>SUMIF(ORDINI[MEV],MEV[[#This Row],[X ORDINE]],ORDINI[Totale Fatturato])</f>
        <v>0</v>
      </c>
      <c r="AG9" s="6">
        <f>MEV[[#This Row],[Ordinato (BdO)]]-MEV[[#This Row],[Fatturato]]</f>
        <v>0</v>
      </c>
      <c r="AH9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"&amp;E9&amp;".xlsx","")</f>
        <v>https://capgemini.sharepoint.com/:f:/r/sites/LOGISTICA-GOVERNANCE2/Shared%20Documents/General/GARA%202025/ECONOMICS/TabelleOfferte/R.26.05/Tabella Offerta - 143578_NPSO - Legge di bilancio_v1.xlsx</v>
      </c>
    </row>
    <row r="10" spans="1:46" s="267" customFormat="1" ht="16.25" customHeight="1" x14ac:dyDescent="0.2">
      <c r="A10" s="3">
        <f t="shared" si="0"/>
        <v>8</v>
      </c>
      <c r="B10" s="3" t="s">
        <v>753</v>
      </c>
      <c r="C10" s="266" t="s">
        <v>910</v>
      </c>
      <c r="D10" s="3" t="str">
        <f>CONCATENATE(MEV[[#This Row],[GoTo]],"_",MEV[[#This Row],[Applicativo]])</f>
        <v>TBD_SEGUIMI</v>
      </c>
      <c r="E10" s="8" t="s">
        <v>911</v>
      </c>
      <c r="F10" s="267" t="s">
        <v>164</v>
      </c>
      <c r="G10" s="267" t="s">
        <v>34</v>
      </c>
      <c r="H10" s="3">
        <v>2026</v>
      </c>
      <c r="I10" s="3" t="s">
        <v>129</v>
      </c>
      <c r="J10" s="3"/>
      <c r="K10" s="3"/>
      <c r="L10" s="268" t="s">
        <v>33</v>
      </c>
      <c r="M10" s="6">
        <v>14977.77</v>
      </c>
      <c r="N10" s="6" t="s">
        <v>623</v>
      </c>
      <c r="O10" s="6">
        <f>IF(MEV[[#This Row],[Importo Fornitura]]&gt;0,MEV[[#This Row],[Importo Fornitura]]-(MEV[[#This Row],[Importo Fornitura]]*VLOOKUP(MEV[[#This Row],[Tipo Contratto]],CONTRATTO!$B$4:$F$15,5,FALSE)),"")</f>
        <v>14977.77</v>
      </c>
      <c r="P10" s="269" t="s">
        <v>917</v>
      </c>
      <c r="Q10" s="269"/>
      <c r="R10" s="269"/>
      <c r="S10" s="269"/>
      <c r="T10" s="3"/>
      <c r="U10" s="267" t="e">
        <f>VLOOKUP(MEV[[#This Row],[X ORDINE]],ORDINI!$A$2:$I$26,2,FALSE)</f>
        <v>#N/A</v>
      </c>
      <c r="V10" s="270" t="e">
        <f>VLOOKUP(MEV[[#This Row],[BC]],CONTRATTO!$B$20:$C$60,2,FALSE)</f>
        <v>#N/A</v>
      </c>
      <c r="W10" s="3" t="e">
        <f>VLOOKUP(MEV[[#This Row],[BC]],CONTRATTO!$B$20:$E$60,4,FALSE)</f>
        <v>#N/A</v>
      </c>
      <c r="X10" s="271">
        <v>0.39</v>
      </c>
      <c r="Y10" s="271">
        <v>0.78</v>
      </c>
      <c r="Z10" s="271">
        <v>1.5</v>
      </c>
      <c r="AA10" s="271">
        <v>1.5</v>
      </c>
      <c r="AB10" s="404"/>
      <c r="AC10" s="272"/>
      <c r="AD10" s="6">
        <f>MEV[[#This Row],[TOW02.1]]*CONTRATTO!$D$71+MEV[[#This Row],[TOW02.2]]*CONTRATTO!$D$72+MEV[[#This Row],[TOW02.3]]*CONTRATTO!$D$73+MEV[[#This Row],[TOW02.4]]*CONTRATTO!$D$74+MEV[[#This Row],[TOW02.5]]+MEV[[#This Row],[TOW02.6]]*CONTRATTO!$D$76</f>
        <v>14977.77</v>
      </c>
      <c r="AE10" s="6">
        <f>SUMIF(ORDINI[MEV],MEV[[#This Row],[X ORDINE]],ORDINI[Valore Posizione])</f>
        <v>0</v>
      </c>
      <c r="AF10" s="6">
        <f>SUMIF(ORDINI[MEV],MEV[[#This Row],[X ORDINE]],ORDINI[Totale Fatturato])</f>
        <v>0</v>
      </c>
      <c r="AG10" s="6">
        <f>MEV[[#This Row],[Ordinato (BdO)]]-MEV[[#This Row],[Fatturato]]</f>
        <v>0</v>
      </c>
      <c r="AH10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"&amp;E10&amp;".xlsx","")</f>
        <v/>
      </c>
    </row>
    <row r="11" spans="1:46" s="267" customFormat="1" ht="16.25" customHeight="1" x14ac:dyDescent="0.2">
      <c r="A11" s="3">
        <f t="shared" si="0"/>
        <v>9</v>
      </c>
      <c r="B11" s="3">
        <v>141761</v>
      </c>
      <c r="C11" s="266" t="s">
        <v>988</v>
      </c>
      <c r="D11" s="3" t="str">
        <f>CONCATENATE(MEV[[#This Row],[GoTo]],"_",MEV[[#This Row],[Applicativo]])</f>
        <v>141761_IPER_IPERSUITE</v>
      </c>
      <c r="E11" s="8" t="s">
        <v>943</v>
      </c>
      <c r="F11" s="267" t="s">
        <v>32</v>
      </c>
      <c r="G11" s="267" t="s">
        <v>24</v>
      </c>
      <c r="H11" s="3">
        <v>2026</v>
      </c>
      <c r="I11" s="475" t="s">
        <v>129</v>
      </c>
      <c r="J11" s="3" t="s">
        <v>288</v>
      </c>
      <c r="K11" s="3"/>
      <c r="L11" s="268" t="s">
        <v>25</v>
      </c>
      <c r="M11" s="507">
        <v>4821.05</v>
      </c>
      <c r="N11" s="6" t="s">
        <v>623</v>
      </c>
      <c r="O11" s="6">
        <f>IF(MEV[[#This Row],[Importo Fornitura]]&gt;0,MEV[[#This Row],[Importo Fornitura]]-(MEV[[#This Row],[Importo Fornitura]]*VLOOKUP(MEV[[#This Row],[Tipo Contratto]],CONTRATTO!$B$4:$F$15,5,FALSE)),"")</f>
        <v>4821.05</v>
      </c>
      <c r="P11" s="269" t="s">
        <v>907</v>
      </c>
      <c r="Q11" s="269"/>
      <c r="R11" s="269"/>
      <c r="S11" s="269"/>
      <c r="T11" s="3"/>
      <c r="U11" s="267" t="e">
        <f>VLOOKUP(MEV[[#This Row],[X ORDINE]],ORDINI!$A$2:$I$26,2,FALSE)</f>
        <v>#N/A</v>
      </c>
      <c r="V11" s="270" t="e">
        <f>VLOOKUP(MEV[[#This Row],[BC]],CONTRATTO!$B$20:$C$60,2,FALSE)</f>
        <v>#N/A</v>
      </c>
      <c r="W11" s="3" t="e">
        <f>VLOOKUP(MEV[[#This Row],[BC]],CONTRATTO!$B$20:$E$60,4,FALSE)</f>
        <v>#N/A</v>
      </c>
      <c r="X11" s="495">
        <v>1.036</v>
      </c>
      <c r="Y11" s="495">
        <v>0</v>
      </c>
      <c r="Z11" s="495">
        <v>5.2999999999999999E-2</v>
      </c>
      <c r="AA11" s="495">
        <v>6.4000000000000001E-2</v>
      </c>
      <c r="AB11" s="496">
        <v>840</v>
      </c>
      <c r="AC11" s="497"/>
      <c r="AD11" s="6">
        <f>MEV[[#This Row],[TOW02.1]]*CONTRATTO!$D$71+MEV[[#This Row],[TOW02.2]]*CONTRATTO!$D$72+MEV[[#This Row],[TOW02.3]]*CONTRATTO!$D$73+MEV[[#This Row],[TOW02.4]]*CONTRATTO!$D$74+MEV[[#This Row],[TOW02.5]]+MEV[[#This Row],[TOW02.6]]*CONTRATTO!$D$76</f>
        <v>4821.0480000000007</v>
      </c>
      <c r="AE11" s="6">
        <f>SUMIF(ORDINI[MEV],MEV[[#This Row],[X ORDINE]],ORDINI[Valore Posizione])</f>
        <v>0</v>
      </c>
      <c r="AF11" s="6">
        <f>SUMIF(ORDINI[MEV],MEV[[#This Row],[X ORDINE]],ORDINI[Totale Fatturato])</f>
        <v>0</v>
      </c>
      <c r="AG11" s="6">
        <f>MEV[[#This Row],[Ordinato (BdO)]]-MEV[[#This Row],[Fatturato]]</f>
        <v>0</v>
      </c>
      <c r="AH11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"&amp;E11&amp;".xlsx","")</f>
        <v>https://capgemini.sharepoint.com/:f:/r/sites/LOGISTICA-GOVERNANCE2/Shared%20Documents/General/GARA%202025/ECONOMICS/TabelleOfferte/R.26.05/Tabella Offerta - 141761_IPER_IPERSUITE - CR su Dazi USA.xlsx</v>
      </c>
      <c r="AI11" s="502" t="s">
        <v>989</v>
      </c>
    </row>
    <row r="12" spans="1:46" s="267" customFormat="1" ht="16.25" customHeight="1" x14ac:dyDescent="0.2">
      <c r="A12" s="3">
        <f t="shared" si="0"/>
        <v>10</v>
      </c>
      <c r="B12" s="3">
        <v>141761</v>
      </c>
      <c r="C12" s="266" t="s">
        <v>36</v>
      </c>
      <c r="D12" s="3" t="str">
        <f>CONCATENATE(MEV[[#This Row],[GoTo]],"_",MEV[[#This Row],[Applicativo]])</f>
        <v>141761_BEP</v>
      </c>
      <c r="E12" s="8" t="s">
        <v>943</v>
      </c>
      <c r="F12" s="267" t="s">
        <v>35</v>
      </c>
      <c r="G12" s="267" t="s">
        <v>24</v>
      </c>
      <c r="H12" s="3">
        <v>2026</v>
      </c>
      <c r="I12" s="3" t="s">
        <v>983</v>
      </c>
      <c r="J12" s="3"/>
      <c r="K12" s="3"/>
      <c r="L12" s="268" t="s">
        <v>66</v>
      </c>
      <c r="M12" s="507">
        <v>10779.68</v>
      </c>
      <c r="N12" s="6" t="s">
        <v>623</v>
      </c>
      <c r="O12" s="6">
        <f>IF(MEV[[#This Row],[Importo Fornitura]]&gt;0,MEV[[#This Row],[Importo Fornitura]]-(MEV[[#This Row],[Importo Fornitura]]*VLOOKUP(MEV[[#This Row],[Tipo Contratto]],CONTRATTO!$B$4:$F$15,5,FALSE)),"")</f>
        <v>10779.68</v>
      </c>
      <c r="P12" s="269" t="s">
        <v>946</v>
      </c>
      <c r="Q12" s="269"/>
      <c r="R12" s="269"/>
      <c r="S12" s="269"/>
      <c r="T12" s="3"/>
      <c r="U12" s="267" t="e">
        <f>VLOOKUP(MEV[[#This Row],[X ORDINE]],ORDINI!$A$2:$I$26,2,FALSE)</f>
        <v>#N/A</v>
      </c>
      <c r="V12" s="270" t="e">
        <f>VLOOKUP(MEV[[#This Row],[BC]],CONTRATTO!$B$20:$C$60,2,FALSE)</f>
        <v>#N/A</v>
      </c>
      <c r="W12" s="3" t="e">
        <f>VLOOKUP(MEV[[#This Row],[BC]],CONTRATTO!$B$20:$E$60,4,FALSE)</f>
        <v>#N/A</v>
      </c>
      <c r="X12" s="271">
        <v>0.83899999999999997</v>
      </c>
      <c r="Y12" s="271">
        <v>0</v>
      </c>
      <c r="Z12" s="271">
        <v>0.38</v>
      </c>
      <c r="AA12" s="271">
        <v>0.46100000000000002</v>
      </c>
      <c r="AB12" s="404">
        <v>6000</v>
      </c>
      <c r="AC12" s="272"/>
      <c r="AD12" s="6">
        <f>MEV[[#This Row],[TOW02.1]]*CONTRATTO!$D$71+MEV[[#This Row],[TOW02.2]]*CONTRATTO!$D$72+MEV[[#This Row],[TOW02.3]]*CONTRATTO!$D$73+MEV[[#This Row],[TOW02.4]]*CONTRATTO!$D$74+MEV[[#This Row],[TOW02.5]]+MEV[[#This Row],[TOW02.6]]*CONTRATTO!$D$76</f>
        <v>10779.674999999999</v>
      </c>
      <c r="AE12" s="6">
        <f>SUMIF(ORDINI[MEV],MEV[[#This Row],[X ORDINE]],ORDINI[Valore Posizione])</f>
        <v>0</v>
      </c>
      <c r="AF12" s="6">
        <f>SUMIF(ORDINI[MEV],MEV[[#This Row],[X ORDINE]],ORDINI[Totale Fatturato])</f>
        <v>0</v>
      </c>
      <c r="AG12" s="6">
        <f>MEV[[#This Row],[Ordinato (BdO)]]-MEV[[#This Row],[Fatturato]]</f>
        <v>0</v>
      </c>
      <c r="AH12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"&amp;E12&amp;".xlsx","")</f>
        <v/>
      </c>
    </row>
    <row r="13" spans="1:46" s="267" customFormat="1" ht="17.75" customHeight="1" x14ac:dyDescent="0.2">
      <c r="A13" s="3">
        <f t="shared" si="0"/>
        <v>11</v>
      </c>
      <c r="B13" s="3" t="s">
        <v>753</v>
      </c>
      <c r="C13" s="266" t="s">
        <v>36</v>
      </c>
      <c r="D13" s="3" t="str">
        <f>CONCATENATE(MEV[[#This Row],[GoTo]],"_",MEV[[#This Row],[Applicativo]])</f>
        <v>TBD_BEP</v>
      </c>
      <c r="E13" s="8" t="s">
        <v>790</v>
      </c>
      <c r="F13" s="267" t="s">
        <v>35</v>
      </c>
      <c r="G13" s="267" t="s">
        <v>24</v>
      </c>
      <c r="H13" s="3">
        <v>2026</v>
      </c>
      <c r="I13" s="475" t="s">
        <v>129</v>
      </c>
      <c r="J13" s="3" t="s">
        <v>288</v>
      </c>
      <c r="K13" s="3"/>
      <c r="L13" s="268" t="s">
        <v>25</v>
      </c>
      <c r="M13" s="507">
        <v>34614.83</v>
      </c>
      <c r="N13" s="6" t="s">
        <v>623</v>
      </c>
      <c r="O13" s="6">
        <f>IF(MEV[[#This Row],[Importo Fornitura]]&gt;0,MEV[[#This Row],[Importo Fornitura]]-(MEV[[#This Row],[Importo Fornitura]]*VLOOKUP(MEV[[#This Row],[Tipo Contratto]],CONTRATTO!$B$4:$F$15,5,FALSE)),"")</f>
        <v>34614.83</v>
      </c>
      <c r="P13" s="269" t="s">
        <v>874</v>
      </c>
      <c r="Q13" s="269"/>
      <c r="R13" s="269"/>
      <c r="S13" s="269"/>
      <c r="T13" s="3"/>
      <c r="U13" s="3" t="e">
        <f>VLOOKUP(MEV[[#This Row],[X ORDINE]],ORDINI!$A$2:$I$26,2,FALSE)</f>
        <v>#N/A</v>
      </c>
      <c r="V13" s="270" t="e">
        <f>VLOOKUP(MEV[[#This Row],[BC]],CONTRATTO!$B$20:$C$60,2,FALSE)</f>
        <v>#N/A</v>
      </c>
      <c r="W13" s="3" t="e">
        <f>VLOOKUP(MEV[[#This Row],[BC]],CONTRATTO!$B$20:$E$60,4,FALSE)</f>
        <v>#N/A</v>
      </c>
      <c r="X13" s="495">
        <v>1.5899999999999999</v>
      </c>
      <c r="Y13" s="495">
        <v>0</v>
      </c>
      <c r="Z13" s="495">
        <v>1.4500000000000002</v>
      </c>
      <c r="AA13" s="495">
        <v>1.75</v>
      </c>
      <c r="AB13" s="496">
        <v>22200</v>
      </c>
      <c r="AC13" s="497"/>
      <c r="AD13" s="6">
        <f>MEV[[#This Row],[TOW02.1]]*CONTRATTO!$D$71+MEV[[#This Row],[TOW02.2]]*CONTRATTO!$D$72+MEV[[#This Row],[TOW02.3]]*CONTRATTO!$D$73+MEV[[#This Row],[TOW02.4]]*CONTRATTO!$D$74+MEV[[#This Row],[TOW02.5]]+MEV[[#This Row],[TOW02.6]]*CONTRATTO!$D$76</f>
        <v>34614.83</v>
      </c>
      <c r="AE13" s="6">
        <f>SUMIF(ORDINI[MEV],MEV[[#This Row],[X ORDINE]],ORDINI[Valore Posizione])</f>
        <v>0</v>
      </c>
      <c r="AF13" s="6">
        <f>SUMIF(ORDINI[MEV],MEV[[#This Row],[X ORDINE]],ORDINI[Totale Fatturato])</f>
        <v>0</v>
      </c>
      <c r="AG13" s="6">
        <f>MEV[[#This Row],[Ordinato (BdO)]]-MEV[[#This Row],[Fatturato]]</f>
        <v>0</v>
      </c>
      <c r="AH13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"&amp;E13&amp;".xlsx","")</f>
        <v>https://capgemini.sharepoint.com/:f:/r/sites/LOGISTICA-GOVERNANCE2/Shared%20Documents/General/GARA%202025/ECONOMICS/TabelleOfferte/R.26.05/Tabella Offerta - TBD_BEP - Interventi Vari.xlsx</v>
      </c>
    </row>
    <row r="14" spans="1:46" s="267" customFormat="1" ht="16.25" customHeight="1" x14ac:dyDescent="0.2">
      <c r="A14" s="3">
        <f t="shared" si="0"/>
        <v>12</v>
      </c>
      <c r="B14" s="3">
        <v>143247</v>
      </c>
      <c r="C14" s="554" t="s">
        <v>51</v>
      </c>
      <c r="D14" s="3" t="str">
        <f>CONCATENATE(MEV[[#This Row],[GoTo]],"_",MEV[[#This Row],[Applicativo]])</f>
        <v>143247_SP1</v>
      </c>
      <c r="E14" s="8" t="s">
        <v>923</v>
      </c>
      <c r="F14" s="267" t="s">
        <v>32</v>
      </c>
      <c r="G14" s="267" t="s">
        <v>24</v>
      </c>
      <c r="H14" s="3">
        <v>2026</v>
      </c>
      <c r="I14" s="3" t="s">
        <v>133</v>
      </c>
      <c r="J14" s="3" t="s">
        <v>288</v>
      </c>
      <c r="K14" s="3"/>
      <c r="L14" s="268" t="s">
        <v>25</v>
      </c>
      <c r="M14" s="507">
        <v>82448.460000000006</v>
      </c>
      <c r="N14" s="6" t="s">
        <v>623</v>
      </c>
      <c r="O14" s="6">
        <f>IF(MEV[[#This Row],[Importo Fornitura]]&gt;0,MEV[[#This Row],[Importo Fornitura]]-(MEV[[#This Row],[Importo Fornitura]]*VLOOKUP(MEV[[#This Row],[Tipo Contratto]],CONTRATTO!$B$4:$F$15,5,FALSE)),"")</f>
        <v>82448.460000000006</v>
      </c>
      <c r="P14" s="269" t="s">
        <v>1056</v>
      </c>
      <c r="Q14" s="269"/>
      <c r="R14" s="269"/>
      <c r="S14" s="269"/>
      <c r="T14" s="3" t="s">
        <v>753</v>
      </c>
      <c r="U14" s="267" t="e">
        <f>VLOOKUP(MEV[[#This Row],[X ORDINE]],ORDINI!$A$2:$I$26,2,FALSE)</f>
        <v>#N/A</v>
      </c>
      <c r="V14" s="270" t="e">
        <f>VLOOKUP(MEV[[#This Row],[BC]],CONTRATTO!$B$20:$C$60,2,FALSE)</f>
        <v>#N/A</v>
      </c>
      <c r="W14" s="3" t="e">
        <f>VLOOKUP(MEV[[#This Row],[BC]],CONTRATTO!$B$20:$E$60,4,FALSE)</f>
        <v>#N/A</v>
      </c>
      <c r="X14" s="271">
        <v>3.6579999999999995</v>
      </c>
      <c r="Y14" s="271">
        <v>0</v>
      </c>
      <c r="Z14" s="271">
        <v>3.395</v>
      </c>
      <c r="AA14" s="271">
        <v>4.1159999999999997</v>
      </c>
      <c r="AB14" s="404">
        <v>53592</v>
      </c>
      <c r="AC14" s="272"/>
      <c r="AD14" s="6">
        <f>MEV[[#This Row],[TOW02.1]]*CONTRATTO!$D$71+MEV[[#This Row],[TOW02.2]]*CONTRATTO!$D$72+MEV[[#This Row],[TOW02.3]]*CONTRATTO!$D$73+MEV[[#This Row],[TOW02.4]]*CONTRATTO!$D$74+MEV[[#This Row],[TOW02.5]]+MEV[[#This Row],[TOW02.6]]*CONTRATTO!$D$76</f>
        <v>82448.457999999999</v>
      </c>
      <c r="AE14" s="6">
        <f>SUMIF(ORDINI[MEV],MEV[[#This Row],[X ORDINE]],ORDINI[Valore Posizione])</f>
        <v>0</v>
      </c>
      <c r="AF14" s="6">
        <f>SUMIF(ORDINI[MEV],MEV[[#This Row],[X ORDINE]],ORDINI[Totale Fatturato])</f>
        <v>0</v>
      </c>
      <c r="AG14" s="6">
        <f>MEV[[#This Row],[Ordinato (BdO)]]-MEV[[#This Row],[Fatturato]]</f>
        <v>0</v>
      </c>
      <c r="AH14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"&amp;E14&amp;".xlsx","")</f>
        <v>https://capgemini.sharepoint.com/:f:/r/sites/LOGISTICA-GOVERNANCE2/Shared%20Documents/General/GARA%202025/ECONOMICS/TabelleOfferte/R.26.06/Tabella Offerta - 143247_SP1 - HandlingFees Dogana.xlsx</v>
      </c>
      <c r="AJ14" s="267" t="s">
        <v>325</v>
      </c>
      <c r="AK14" s="267" t="s">
        <v>166</v>
      </c>
      <c r="AL14" s="504">
        <v>62100</v>
      </c>
      <c r="AM14" s="267" t="s">
        <v>756</v>
      </c>
      <c r="AN14" s="267" t="s">
        <v>1016</v>
      </c>
      <c r="AO14" s="267" t="s">
        <v>1016</v>
      </c>
    </row>
    <row r="15" spans="1:46" s="267" customFormat="1" ht="16.25" customHeight="1" x14ac:dyDescent="0.2">
      <c r="A15" s="3">
        <f t="shared" si="0"/>
        <v>13</v>
      </c>
      <c r="B15" s="3">
        <v>143247</v>
      </c>
      <c r="C15" s="554" t="s">
        <v>44</v>
      </c>
      <c r="D15" s="3" t="str">
        <f>CONCATENATE(MEV[[#This Row],[GoTo]],"_",MEV[[#This Row],[Applicativo]])</f>
        <v>143247_ILP</v>
      </c>
      <c r="E15" s="8" t="s">
        <v>923</v>
      </c>
      <c r="F15" s="267" t="s">
        <v>32</v>
      </c>
      <c r="G15" s="267" t="s">
        <v>24</v>
      </c>
      <c r="H15" s="3">
        <v>2026</v>
      </c>
      <c r="I15" s="475" t="s">
        <v>134</v>
      </c>
      <c r="J15" s="3" t="s">
        <v>288</v>
      </c>
      <c r="K15" s="3"/>
      <c r="L15" s="268" t="s">
        <v>25</v>
      </c>
      <c r="M15" s="507">
        <v>37889.339999999997</v>
      </c>
      <c r="N15" s="6" t="s">
        <v>623</v>
      </c>
      <c r="O15" s="6">
        <f>IF(MEV[[#This Row],[Importo Fornitura]]&gt;0,MEV[[#This Row],[Importo Fornitura]]-(MEV[[#This Row],[Importo Fornitura]]*VLOOKUP(MEV[[#This Row],[Tipo Contratto]],CONTRATTO!$B$4:$F$15,5,FALSE)),"")</f>
        <v>37889.339999999997</v>
      </c>
      <c r="P15" s="269" t="s">
        <v>1057</v>
      </c>
      <c r="Q15" s="269"/>
      <c r="R15" s="269"/>
      <c r="S15" s="269"/>
      <c r="T15" s="3"/>
      <c r="U15" s="267" t="e">
        <f>VLOOKUP(MEV[[#This Row],[X ORDINE]],ORDINI!$A$2:$I$26,2,FALSE)</f>
        <v>#N/A</v>
      </c>
      <c r="V15" s="270" t="e">
        <f>VLOOKUP(MEV[[#This Row],[BC]],CONTRATTO!$B$20:$C$60,2,FALSE)</f>
        <v>#N/A</v>
      </c>
      <c r="W15" s="3" t="e">
        <f>VLOOKUP(MEV[[#This Row],[BC]],CONTRATTO!$B$20:$E$60,4,FALSE)</f>
        <v>#N/A</v>
      </c>
      <c r="X15" s="271">
        <v>3.5980000000000003</v>
      </c>
      <c r="Y15" s="271">
        <v>0</v>
      </c>
      <c r="Z15" s="271">
        <v>2.8250000000000002</v>
      </c>
      <c r="AA15" s="271">
        <v>2.8250000000000002</v>
      </c>
      <c r="AB15" s="404">
        <v>12600</v>
      </c>
      <c r="AC15" s="272"/>
      <c r="AD15" s="6">
        <f>MEV[[#This Row],[TOW02.1]]*CONTRATTO!$D$71+MEV[[#This Row],[TOW02.2]]*CONTRATTO!$D$72+MEV[[#This Row],[TOW02.3]]*CONTRATTO!$D$73+MEV[[#This Row],[TOW02.4]]*CONTRATTO!$D$74+MEV[[#This Row],[TOW02.5]]+MEV[[#This Row],[TOW02.6]]*CONTRATTO!$D$76</f>
        <v>37889.336000000003</v>
      </c>
      <c r="AE15" s="6">
        <f>SUMIF(ORDINI[MEV],MEV[[#This Row],[X ORDINE]],ORDINI[Valore Posizione])</f>
        <v>0</v>
      </c>
      <c r="AF15" s="6">
        <f>SUMIF(ORDINI[MEV],MEV[[#This Row],[X ORDINE]],ORDINI[Totale Fatturato])</f>
        <v>0</v>
      </c>
      <c r="AG15" s="6">
        <f>MEV[[#This Row],[Ordinato (BdO)]]-MEV[[#This Row],[Fatturato]]</f>
        <v>0</v>
      </c>
      <c r="AH15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"&amp;E15&amp;".xlsx","")</f>
        <v>https://capgemini.sharepoint.com/:f:/r/sites/LOGISTICA-GOVERNANCE2/Shared%20Documents/General/GARA%202025/ECONOMICS/TabelleOfferte/R.26.07/Tabella Offerta - 143247_ILP - HandlingFees Dogana.xlsx</v>
      </c>
    </row>
    <row r="16" spans="1:46" s="267" customFormat="1" ht="16.25" customHeight="1" x14ac:dyDescent="0.2">
      <c r="A16" s="3">
        <f t="shared" si="0"/>
        <v>14</v>
      </c>
      <c r="B16" s="3">
        <v>143247</v>
      </c>
      <c r="C16" s="554" t="s">
        <v>988</v>
      </c>
      <c r="D16" s="3" t="str">
        <f>CONCATENATE(MEV[[#This Row],[GoTo]],"_",MEV[[#This Row],[Applicativo]])</f>
        <v>143247_IPER_IPERSUITE</v>
      </c>
      <c r="E16" s="8" t="s">
        <v>923</v>
      </c>
      <c r="F16" s="267" t="s">
        <v>32</v>
      </c>
      <c r="G16" s="267" t="s">
        <v>24</v>
      </c>
      <c r="H16" s="3">
        <v>2026</v>
      </c>
      <c r="I16" s="475" t="s">
        <v>133</v>
      </c>
      <c r="J16" s="3" t="s">
        <v>288</v>
      </c>
      <c r="K16" s="3"/>
      <c r="L16" s="268" t="s">
        <v>25</v>
      </c>
      <c r="M16" s="507">
        <v>73276.61</v>
      </c>
      <c r="N16" s="6" t="s">
        <v>623</v>
      </c>
      <c r="O16" s="6">
        <f>IF(MEV[[#This Row],[Importo Fornitura]]&gt;0,MEV[[#This Row],[Importo Fornitura]]-(MEV[[#This Row],[Importo Fornitura]]*VLOOKUP(MEV[[#This Row],[Tipo Contratto]],CONTRATTO!$B$4:$F$15,5,FALSE)),"")</f>
        <v>73276.61</v>
      </c>
      <c r="P16" s="269" t="s">
        <v>1057</v>
      </c>
      <c r="Q16" s="269"/>
      <c r="R16" s="269"/>
      <c r="S16" s="269"/>
      <c r="T16" s="582">
        <v>46157</v>
      </c>
      <c r="U16" s="267" t="e">
        <f>VLOOKUP(MEV[[#This Row],[X ORDINE]],ORDINI!$A$2:$I$26,2,FALSE)</f>
        <v>#N/A</v>
      </c>
      <c r="V16" s="270" t="e">
        <f>VLOOKUP(MEV[[#This Row],[BC]],CONTRATTO!$B$20:$C$60,2,FALSE)</f>
        <v>#N/A</v>
      </c>
      <c r="W16" s="3" t="e">
        <f>VLOOKUP(MEV[[#This Row],[BC]],CONTRATTO!$B$20:$E$60,4,FALSE)</f>
        <v>#N/A</v>
      </c>
      <c r="X16" s="271">
        <v>4.927999999999999</v>
      </c>
      <c r="Y16" s="271">
        <v>0</v>
      </c>
      <c r="Z16" s="271">
        <v>2.7199999999999998</v>
      </c>
      <c r="AA16" s="271">
        <v>3.2969999999999997</v>
      </c>
      <c r="AB16" s="404">
        <v>42954</v>
      </c>
      <c r="AC16" s="272"/>
      <c r="AD16" s="6">
        <f>MEV[[#This Row],[TOW02.1]]*CONTRATTO!$D$71+MEV[[#This Row],[TOW02.2]]*CONTRATTO!$D$72+MEV[[#This Row],[TOW02.3]]*CONTRATTO!$D$73+MEV[[#This Row],[TOW02.4]]*CONTRATTO!$D$74+MEV[[#This Row],[TOW02.5]]+MEV[[#This Row],[TOW02.6]]*CONTRATTO!$D$76</f>
        <v>73276.609999999986</v>
      </c>
      <c r="AE16" s="6">
        <f>SUMIF(ORDINI[MEV],MEV[[#This Row],[X ORDINE]],ORDINI[Valore Posizione])</f>
        <v>0</v>
      </c>
      <c r="AF16" s="6">
        <f>SUMIF(ORDINI[MEV],MEV[[#This Row],[X ORDINE]],ORDINI[Totale Fatturato])</f>
        <v>0</v>
      </c>
      <c r="AG16" s="6">
        <f>MEV[[#This Row],[Ordinato (BdO)]]-MEV[[#This Row],[Fatturato]]</f>
        <v>0</v>
      </c>
      <c r="AH16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"&amp;E16&amp;".xlsx","")</f>
        <v>https://capgemini.sharepoint.com/:f:/r/sites/LOGISTICA-GOVERNANCE2/Shared%20Documents/General/GARA%202025/ECONOMICS/TabelleOfferte/R.26.06/Tabella Offerta - 143247_IPER_IPERSUITE - HandlingFees Dogana.xlsx</v>
      </c>
    </row>
    <row r="17" spans="1:35" s="267" customFormat="1" ht="16.25" customHeight="1" x14ac:dyDescent="0.2">
      <c r="A17" s="3">
        <f t="shared" si="0"/>
        <v>15</v>
      </c>
      <c r="B17" s="3" t="s">
        <v>996</v>
      </c>
      <c r="C17" s="554" t="s">
        <v>988</v>
      </c>
      <c r="D17" s="3" t="str">
        <f>CONCATENATE(MEV[[#This Row],[GoTo]],"_",MEV[[#This Row],[Applicativo]])</f>
        <v>143247_IPER_IPER_IPERSUITE</v>
      </c>
      <c r="E17" s="8" t="s">
        <v>997</v>
      </c>
      <c r="F17" s="267" t="s">
        <v>32</v>
      </c>
      <c r="G17" s="267" t="s">
        <v>24</v>
      </c>
      <c r="H17" s="3">
        <v>2026</v>
      </c>
      <c r="I17" s="475" t="s">
        <v>133</v>
      </c>
      <c r="J17" s="3" t="s">
        <v>288</v>
      </c>
      <c r="K17" s="3"/>
      <c r="L17" s="268" t="s">
        <v>25</v>
      </c>
      <c r="M17" s="507">
        <v>94991.62</v>
      </c>
      <c r="N17" s="6" t="s">
        <v>623</v>
      </c>
      <c r="O17" s="6">
        <f>IF(MEV[[#This Row],[Importo Fornitura]]&gt;0,MEV[[#This Row],[Importo Fornitura]]-(MEV[[#This Row],[Importo Fornitura]]*VLOOKUP(MEV[[#This Row],[Tipo Contratto]],CONTRATTO!$B$4:$F$15,5,FALSE)),"")</f>
        <v>94991.62</v>
      </c>
      <c r="P17" s="269" t="s">
        <v>1058</v>
      </c>
      <c r="Q17" s="269"/>
      <c r="R17" s="269"/>
      <c r="S17" s="269"/>
      <c r="T17" s="582">
        <v>46157</v>
      </c>
      <c r="U17" s="267" t="e">
        <f>VLOOKUP(MEV[[#This Row],[X ORDINE]],ORDINI!$A$2:$I$26,2,FALSE)</f>
        <v>#N/A</v>
      </c>
      <c r="V17" s="270" t="e">
        <f>VLOOKUP(MEV[[#This Row],[BC]],CONTRATTO!$B$20:$C$60,2,FALSE)</f>
        <v>#N/A</v>
      </c>
      <c r="W17" s="3" t="e">
        <f>VLOOKUP(MEV[[#This Row],[BC]],CONTRATTO!$B$20:$E$60,4,FALSE)</f>
        <v>#N/A</v>
      </c>
      <c r="X17" s="271">
        <v>4.2149999999999999</v>
      </c>
      <c r="Y17" s="271">
        <v>0</v>
      </c>
      <c r="Z17" s="271">
        <v>3.9129999999999994</v>
      </c>
      <c r="AA17" s="271">
        <v>4.7409999999999997</v>
      </c>
      <c r="AB17" s="404">
        <v>61740</v>
      </c>
      <c r="AC17" s="272"/>
      <c r="AD17" s="6">
        <f>MEV[[#This Row],[TOW02.1]]*CONTRATTO!$D$71+MEV[[#This Row],[TOW02.2]]*CONTRATTO!$D$72+MEV[[#This Row],[TOW02.3]]*CONTRATTO!$D$73+MEV[[#This Row],[TOW02.4]]*CONTRATTO!$D$74+MEV[[#This Row],[TOW02.5]]+MEV[[#This Row],[TOW02.6]]*CONTRATTO!$D$76</f>
        <v>94991.614999999991</v>
      </c>
      <c r="AE17" s="6">
        <f>SUMIF(ORDINI[MEV],MEV[[#This Row],[X ORDINE]],ORDINI[Valore Posizione])</f>
        <v>0</v>
      </c>
      <c r="AF17" s="6">
        <f>SUMIF(ORDINI[MEV],MEV[[#This Row],[X ORDINE]],ORDINI[Totale Fatturato])</f>
        <v>0</v>
      </c>
      <c r="AG17" s="6">
        <f>MEV[[#This Row],[Ordinato (BdO)]]-MEV[[#This Row],[Fatturato]]</f>
        <v>0</v>
      </c>
      <c r="AH17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"&amp;E17&amp;".xlsx","")</f>
        <v>https://capgemini.sharepoint.com/:f:/r/sites/LOGISTICA-GOVERNANCE2/Shared%20Documents/General/GARA%202025/ECONOMICS/TabelleOfferte/R.26.06/Tabella Offerta - 143247_IPER_IPER_IPERSUITE - Rientri sicurezza CodeReview.xlsx</v>
      </c>
    </row>
    <row r="18" spans="1:35" s="267" customFormat="1" ht="16.25" customHeight="1" x14ac:dyDescent="0.2">
      <c r="A18" s="3">
        <f t="shared" si="0"/>
        <v>16</v>
      </c>
      <c r="B18" s="3" t="s">
        <v>981</v>
      </c>
      <c r="C18" s="554" t="s">
        <v>153</v>
      </c>
      <c r="D18" s="3" t="str">
        <f>CONCATENATE(MEV[[#This Row],[GoTo]],"_",MEV[[#This Row],[Applicativo]])</f>
        <v>143247_1_SORTING CONTROLLER</v>
      </c>
      <c r="E18" s="8" t="s">
        <v>923</v>
      </c>
      <c r="F18" s="267" t="s">
        <v>32</v>
      </c>
      <c r="G18" s="267" t="s">
        <v>24</v>
      </c>
      <c r="H18" s="3">
        <v>2026</v>
      </c>
      <c r="I18" s="475" t="s">
        <v>134</v>
      </c>
      <c r="J18" s="3" t="s">
        <v>288</v>
      </c>
      <c r="K18" s="3"/>
      <c r="L18" s="268" t="s">
        <v>25</v>
      </c>
      <c r="M18" s="507">
        <v>7095.44</v>
      </c>
      <c r="N18" s="6" t="s">
        <v>623</v>
      </c>
      <c r="O18" s="6">
        <f>IF(MEV[[#This Row],[Importo Fornitura]]&gt;0,MEV[[#This Row],[Importo Fornitura]]-(MEV[[#This Row],[Importo Fornitura]]*VLOOKUP(MEV[[#This Row],[Tipo Contratto]],CONTRATTO!$B$4:$F$15,5,FALSE)),"")</f>
        <v>7095.44</v>
      </c>
      <c r="P18" s="269" t="s">
        <v>1060</v>
      </c>
      <c r="Q18" s="269"/>
      <c r="R18" s="269"/>
      <c r="S18" s="269"/>
      <c r="T18" s="3"/>
      <c r="U18" s="267" t="e">
        <f>VLOOKUP(MEV[[#This Row],[X ORDINE]],ORDINI!$A$2:$I$26,2,FALSE)</f>
        <v>#N/A</v>
      </c>
      <c r="V18" s="270" t="e">
        <f>VLOOKUP(MEV[[#This Row],[BC]],CONTRATTO!$B$20:$C$60,2,FALSE)</f>
        <v>#N/A</v>
      </c>
      <c r="W18" s="3" t="e">
        <f>VLOOKUP(MEV[[#This Row],[BC]],CONTRATTO!$B$20:$E$60,4,FALSE)</f>
        <v>#N/A</v>
      </c>
      <c r="X18" s="271">
        <v>1.7509999999999999</v>
      </c>
      <c r="Y18" s="271">
        <v>0</v>
      </c>
      <c r="Z18" s="271">
        <v>3.9E-2</v>
      </c>
      <c r="AA18" s="271">
        <v>4.7E-2</v>
      </c>
      <c r="AB18" s="404">
        <v>600</v>
      </c>
      <c r="AC18" s="272"/>
      <c r="AD18" s="6">
        <f>MEV[[#This Row],[TOW02.1]]*CONTRATTO!$D$71+MEV[[#This Row],[TOW02.2]]*CONTRATTO!$D$72+MEV[[#This Row],[TOW02.3]]*CONTRATTO!$D$73+MEV[[#This Row],[TOW02.4]]*CONTRATTO!$D$74+MEV[[#This Row],[TOW02.5]]+MEV[[#This Row],[TOW02.6]]*CONTRATTO!$D$76</f>
        <v>7095.4349999999995</v>
      </c>
      <c r="AE18" s="6">
        <f>SUMIF(ORDINI[MEV],MEV[[#This Row],[X ORDINE]],ORDINI[Valore Posizione])</f>
        <v>0</v>
      </c>
      <c r="AF18" s="6">
        <f>SUMIF(ORDINI[MEV],MEV[[#This Row],[X ORDINE]],ORDINI[Totale Fatturato])</f>
        <v>0</v>
      </c>
      <c r="AG18" s="6">
        <f>MEV[[#This Row],[Ordinato (BdO)]]-MEV[[#This Row],[Fatturato]]</f>
        <v>0</v>
      </c>
      <c r="AH18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"&amp;E18&amp;".xlsx","")</f>
        <v>https://capgemini.sharepoint.com/:f:/r/sites/LOGISTICA-GOVERNANCE2/Shared%20Documents/General/GARA%202025/ECONOMICS/TabelleOfferte/R.26.07/Tabella Offerta - 143247_1_SORTING CONTROLLER - HandlingFees Dogana.xlsx</v>
      </c>
    </row>
    <row r="19" spans="1:35" s="267" customFormat="1" ht="16.25" customHeight="1" x14ac:dyDescent="0.2">
      <c r="A19" s="3">
        <f t="shared" si="0"/>
        <v>17</v>
      </c>
      <c r="B19" s="3" t="s">
        <v>941</v>
      </c>
      <c r="C19" s="554" t="s">
        <v>988</v>
      </c>
      <c r="D19" s="3" t="str">
        <f>CONCATENATE(MEV[[#This Row],[GoTo]],"_",MEV[[#This Row],[Applicativo]])</f>
        <v>143247_F3_IPER_IPERSUITE</v>
      </c>
      <c r="E19" s="8" t="s">
        <v>878</v>
      </c>
      <c r="F19" s="267" t="s">
        <v>32</v>
      </c>
      <c r="G19" s="267" t="s">
        <v>24</v>
      </c>
      <c r="H19" s="3">
        <v>2026</v>
      </c>
      <c r="I19" s="475" t="s">
        <v>134</v>
      </c>
      <c r="J19" s="3" t="s">
        <v>288</v>
      </c>
      <c r="K19" s="3"/>
      <c r="L19" s="268" t="s">
        <v>25</v>
      </c>
      <c r="M19" s="507">
        <v>9311.09</v>
      </c>
      <c r="N19" s="6" t="s">
        <v>623</v>
      </c>
      <c r="O19" s="6">
        <f>IF(MEV[[#This Row],[Importo Fornitura]]&gt;0,MEV[[#This Row],[Importo Fornitura]]-(MEV[[#This Row],[Importo Fornitura]]*VLOOKUP(MEV[[#This Row],[Tipo Contratto]],CONTRATTO!$B$4:$F$15,5,FALSE)),"")</f>
        <v>9311.09</v>
      </c>
      <c r="P19" s="269" t="s">
        <v>1061</v>
      </c>
      <c r="Q19" s="269"/>
      <c r="R19" s="269"/>
      <c r="S19" s="269"/>
      <c r="T19" s="3"/>
      <c r="U19" s="267" t="e">
        <f>VLOOKUP(MEV[[#This Row],[X ORDINE]],ORDINI!$A$2:$I$26,2,FALSE)</f>
        <v>#N/A</v>
      </c>
      <c r="V19" s="270" t="e">
        <f>VLOOKUP(MEV[[#This Row],[BC]],CONTRATTO!$B$20:$C$60,2,FALSE)</f>
        <v>#N/A</v>
      </c>
      <c r="W19" s="3" t="e">
        <f>VLOOKUP(MEV[[#This Row],[BC]],CONTRATTO!$B$20:$E$60,4,FALSE)</f>
        <v>#N/A</v>
      </c>
      <c r="X19" s="271">
        <v>0.39</v>
      </c>
      <c r="Y19" s="271">
        <v>0</v>
      </c>
      <c r="Z19" s="271">
        <v>0.38600000000000001</v>
      </c>
      <c r="AA19" s="271">
        <v>0.47099999999999997</v>
      </c>
      <c r="AB19" s="404">
        <v>6120</v>
      </c>
      <c r="AC19" s="272"/>
      <c r="AD19" s="6">
        <f>MEV[[#This Row],[TOW02.1]]*CONTRATTO!$D$71+MEV[[#This Row],[TOW02.2]]*CONTRATTO!$D$72+MEV[[#This Row],[TOW02.3]]*CONTRATTO!$D$73+MEV[[#This Row],[TOW02.4]]*CONTRATTO!$D$74+MEV[[#This Row],[TOW02.5]]+MEV[[#This Row],[TOW02.6]]*CONTRATTO!$D$76</f>
        <v>9311.0879999999997</v>
      </c>
      <c r="AE19" s="6">
        <f>SUMIF(ORDINI[MEV],MEV[[#This Row],[X ORDINE]],ORDINI[Valore Posizione])</f>
        <v>0</v>
      </c>
      <c r="AF19" s="6">
        <f>SUMIF(ORDINI[MEV],MEV[[#This Row],[X ORDINE]],ORDINI[Totale Fatturato])</f>
        <v>0</v>
      </c>
      <c r="AG19" s="6">
        <f>MEV[[#This Row],[Ordinato (BdO)]]-MEV[[#This Row],[Fatturato]]</f>
        <v>0</v>
      </c>
      <c r="AH19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"&amp;E19&amp;".xlsx","")</f>
        <v>https://capgemini.sharepoint.com/:f:/r/sites/LOGISTICA-GOVERNANCE2/Shared%20Documents/General/GARA%202025/ECONOMICS/TabelleOfferte/R.26.07/Tabella Offerta - 143247_F3_IPER_IPERSUITE - Interventi spuri ITZ (fase 3).xlsx</v>
      </c>
    </row>
    <row r="20" spans="1:35" s="267" customFormat="1" ht="16.25" customHeight="1" x14ac:dyDescent="0.2">
      <c r="A20" s="3">
        <f t="shared" si="0"/>
        <v>18</v>
      </c>
      <c r="B20" s="3" t="s">
        <v>942</v>
      </c>
      <c r="C20" s="554" t="s">
        <v>988</v>
      </c>
      <c r="D20" s="3" t="str">
        <f>CONCATENATE(MEV[[#This Row],[GoTo]],"_",MEV[[#This Row],[Applicativo]])</f>
        <v>143247_F4_IPER_IPERSUITE</v>
      </c>
      <c r="E20" s="8" t="s">
        <v>927</v>
      </c>
      <c r="F20" s="267" t="s">
        <v>32</v>
      </c>
      <c r="G20" s="267" t="s">
        <v>24</v>
      </c>
      <c r="H20" s="3">
        <v>2026</v>
      </c>
      <c r="I20" s="475" t="s">
        <v>134</v>
      </c>
      <c r="J20" s="3" t="s">
        <v>288</v>
      </c>
      <c r="K20" s="3"/>
      <c r="L20" s="268" t="s">
        <v>25</v>
      </c>
      <c r="M20" s="507">
        <v>12831.19</v>
      </c>
      <c r="N20" s="6" t="s">
        <v>623</v>
      </c>
      <c r="O20" s="6">
        <f>IF(MEV[[#This Row],[Importo Fornitura]]&gt;0,MEV[[#This Row],[Importo Fornitura]]-(MEV[[#This Row],[Importo Fornitura]]*VLOOKUP(MEV[[#This Row],[Tipo Contratto]],CONTRATTO!$B$4:$F$15,5,FALSE)),"")</f>
        <v>12831.19</v>
      </c>
      <c r="P20" s="269" t="s">
        <v>1060</v>
      </c>
      <c r="Q20" s="269"/>
      <c r="R20" s="269"/>
      <c r="S20" s="269"/>
      <c r="T20" s="3"/>
      <c r="U20" s="267" t="e">
        <f>VLOOKUP(MEV[[#This Row],[X ORDINE]],ORDINI!$A$2:$I$26,2,FALSE)</f>
        <v>#N/A</v>
      </c>
      <c r="V20" s="270" t="e">
        <f>VLOOKUP(MEV[[#This Row],[BC]],CONTRATTO!$B$20:$C$60,2,FALSE)</f>
        <v>#N/A</v>
      </c>
      <c r="W20" s="3" t="e">
        <f>VLOOKUP(MEV[[#This Row],[BC]],CONTRATTO!$B$20:$E$60,4,FALSE)</f>
        <v>#N/A</v>
      </c>
      <c r="X20" s="271">
        <v>0.56899999999999995</v>
      </c>
      <c r="Y20" s="271">
        <v>0</v>
      </c>
      <c r="Z20" s="271">
        <v>0.52900000000000003</v>
      </c>
      <c r="AA20" s="271">
        <v>0.64</v>
      </c>
      <c r="AB20" s="404">
        <v>8340</v>
      </c>
      <c r="AC20" s="272"/>
      <c r="AD20" s="6">
        <f>MEV[[#This Row],[TOW02.1]]*CONTRATTO!$D$71+MEV[[#This Row],[TOW02.2]]*CONTRATTO!$D$72+MEV[[#This Row],[TOW02.3]]*CONTRATTO!$D$73+MEV[[#This Row],[TOW02.4]]*CONTRATTO!$D$74+MEV[[#This Row],[TOW02.5]]+MEV[[#This Row],[TOW02.6]]*CONTRATTO!$D$76</f>
        <v>12831.187</v>
      </c>
      <c r="AE20" s="6">
        <f>SUMIF(ORDINI[MEV],MEV[[#This Row],[X ORDINE]],ORDINI[Valore Posizione])</f>
        <v>0</v>
      </c>
      <c r="AF20" s="6">
        <f>SUMIF(ORDINI[MEV],MEV[[#This Row],[X ORDINE]],ORDINI[Totale Fatturato])</f>
        <v>0</v>
      </c>
      <c r="AG20" s="6">
        <f>MEV[[#This Row],[Ordinato (BdO)]]-MEV[[#This Row],[Fatturato]]</f>
        <v>0</v>
      </c>
      <c r="AH20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"&amp;E20&amp;".xlsx","")</f>
        <v>https://capgemini.sharepoint.com/:f:/r/sites/LOGISTICA-GOVERNANCE2/Shared%20Documents/General/GARA%202025/ECONOMICS/TabelleOfferte/R.26.07/Tabella Offerta - 143247_F4_IPER_IPERSUITE - Interventi spuri ITZ (fase 4).xlsx</v>
      </c>
    </row>
    <row r="21" spans="1:35" s="267" customFormat="1" ht="16.25" customHeight="1" x14ac:dyDescent="0.2">
      <c r="A21" s="3">
        <f t="shared" si="0"/>
        <v>19</v>
      </c>
      <c r="B21" s="3" t="s">
        <v>942</v>
      </c>
      <c r="C21" s="554" t="s">
        <v>44</v>
      </c>
      <c r="D21" s="3" t="str">
        <f>CONCATENATE(MEV[[#This Row],[GoTo]],"_",MEV[[#This Row],[Applicativo]])</f>
        <v>143247_F4_ILP</v>
      </c>
      <c r="E21" s="583" t="s">
        <v>927</v>
      </c>
      <c r="F21" s="267" t="s">
        <v>32</v>
      </c>
      <c r="G21" s="267" t="s">
        <v>24</v>
      </c>
      <c r="H21" s="3">
        <v>2026</v>
      </c>
      <c r="I21" s="475" t="s">
        <v>134</v>
      </c>
      <c r="J21" s="3" t="s">
        <v>288</v>
      </c>
      <c r="K21" s="3"/>
      <c r="L21" s="268" t="s">
        <v>25</v>
      </c>
      <c r="M21" s="507">
        <v>30658.99</v>
      </c>
      <c r="N21" s="6" t="s">
        <v>623</v>
      </c>
      <c r="O21" s="6">
        <f>IF(MEV[[#This Row],[Importo Fornitura]]&gt;0,MEV[[#This Row],[Importo Fornitura]]-(MEV[[#This Row],[Importo Fornitura]]*VLOOKUP(MEV[[#This Row],[Tipo Contratto]],CONTRATTO!$B$4:$F$15,5,FALSE)),"")</f>
        <v>30658.99</v>
      </c>
      <c r="P21" s="269" t="s">
        <v>1059</v>
      </c>
      <c r="Q21" s="269"/>
      <c r="R21" s="269"/>
      <c r="S21" s="269"/>
      <c r="T21" s="3"/>
      <c r="U21" s="267" t="e">
        <f>VLOOKUP(MEV[[#This Row],[X ORDINE]],ORDINI!$A$2:$I$26,2,FALSE)</f>
        <v>#N/A</v>
      </c>
      <c r="V21" s="270" t="e">
        <f>VLOOKUP(MEV[[#This Row],[BC]],CONTRATTO!$B$20:$C$60,2,FALSE)</f>
        <v>#N/A</v>
      </c>
      <c r="W21" s="3" t="e">
        <f>VLOOKUP(MEV[[#This Row],[BC]],CONTRATTO!$B$20:$E$60,4,FALSE)</f>
        <v>#N/A</v>
      </c>
      <c r="X21" s="271">
        <v>3.16</v>
      </c>
      <c r="Y21" s="271">
        <v>0</v>
      </c>
      <c r="Z21" s="271">
        <v>1.044</v>
      </c>
      <c r="AA21" s="271">
        <v>1.2030000000000003</v>
      </c>
      <c r="AB21" s="404">
        <v>14520</v>
      </c>
      <c r="AC21" s="272"/>
      <c r="AD21" s="6">
        <f>MEV[[#This Row],[TOW02.1]]*CONTRATTO!$D$71+MEV[[#This Row],[TOW02.2]]*CONTRATTO!$D$72+MEV[[#This Row],[TOW02.3]]*CONTRATTO!$D$73+MEV[[#This Row],[TOW02.4]]*CONTRATTO!$D$74+MEV[[#This Row],[TOW02.5]]+MEV[[#This Row],[TOW02.6]]*CONTRATTO!$D$76</f>
        <v>30658.99</v>
      </c>
      <c r="AE21" s="6">
        <f>SUMIF(ORDINI[MEV],MEV[[#This Row],[X ORDINE]],ORDINI[Valore Posizione])</f>
        <v>0</v>
      </c>
      <c r="AF21" s="6">
        <f>SUMIF(ORDINI[MEV],MEV[[#This Row],[X ORDINE]],ORDINI[Totale Fatturato])</f>
        <v>0</v>
      </c>
      <c r="AG21" s="6">
        <f>MEV[[#This Row],[Ordinato (BdO)]]-MEV[[#This Row],[Fatturato]]</f>
        <v>0</v>
      </c>
      <c r="AH21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"&amp;E21&amp;".xlsx","")</f>
        <v>https://capgemini.sharepoint.com/:f:/r/sites/LOGISTICA-GOVERNANCE2/Shared%20Documents/General/GARA%202025/ECONOMICS/TabelleOfferte/R.26.07/Tabella Offerta - 143247_F4_ILP - Interventi spuri ITZ (fase 4).xlsx</v>
      </c>
    </row>
    <row r="22" spans="1:35" s="267" customFormat="1" ht="16.25" customHeight="1" x14ac:dyDescent="0.2">
      <c r="A22" s="3">
        <f t="shared" si="0"/>
        <v>20</v>
      </c>
      <c r="B22" s="3" t="s">
        <v>999</v>
      </c>
      <c r="C22" s="554" t="s">
        <v>44</v>
      </c>
      <c r="D22" s="3" t="str">
        <f>CONCATENATE(MEV[[#This Row],[GoTo]],"_",MEV[[#This Row],[Applicativo]])</f>
        <v>143247_ILP_ILP</v>
      </c>
      <c r="E22" s="8" t="s">
        <v>997</v>
      </c>
      <c r="F22" s="267" t="s">
        <v>32</v>
      </c>
      <c r="G22" s="267" t="s">
        <v>24</v>
      </c>
      <c r="H22" s="3">
        <v>2026</v>
      </c>
      <c r="I22" s="475" t="s">
        <v>134</v>
      </c>
      <c r="J22" s="3" t="s">
        <v>288</v>
      </c>
      <c r="K22" s="3"/>
      <c r="L22" s="268" t="s">
        <v>25</v>
      </c>
      <c r="M22" s="507">
        <v>74199.62</v>
      </c>
      <c r="N22" s="6" t="s">
        <v>623</v>
      </c>
      <c r="O22" s="6">
        <f>IF(MEV[[#This Row],[Importo Fornitura]]&gt;0,MEV[[#This Row],[Importo Fornitura]]-(MEV[[#This Row],[Importo Fornitura]]*VLOOKUP(MEV[[#This Row],[Tipo Contratto]],CONTRATTO!$B$4:$F$15,5,FALSE)),"")</f>
        <v>74199.62</v>
      </c>
      <c r="P22" s="269" t="s">
        <v>1058</v>
      </c>
      <c r="Q22" s="269"/>
      <c r="R22" s="269"/>
      <c r="S22" s="269"/>
      <c r="T22" s="3"/>
      <c r="U22" s="267" t="e">
        <f>VLOOKUP(MEV[[#This Row],[X ORDINE]],ORDINI!$A$2:$I$26,2,FALSE)</f>
        <v>#N/A</v>
      </c>
      <c r="V22" s="270" t="e">
        <f>VLOOKUP(MEV[[#This Row],[BC]],CONTRATTO!$B$20:$C$60,2,FALSE)</f>
        <v>#N/A</v>
      </c>
      <c r="W22" s="3" t="e">
        <f>VLOOKUP(MEV[[#This Row],[BC]],CONTRATTO!$B$20:$E$60,4,FALSE)</f>
        <v>#N/A</v>
      </c>
      <c r="X22" s="271">
        <v>3.29</v>
      </c>
      <c r="Y22" s="271">
        <v>0</v>
      </c>
      <c r="Z22" s="271">
        <v>3.0549999999999997</v>
      </c>
      <c r="AA22" s="271">
        <v>3.7030000000000003</v>
      </c>
      <c r="AB22" s="404">
        <v>48239.999999999993</v>
      </c>
      <c r="AC22" s="272"/>
      <c r="AD22" s="6">
        <f>MEV[[#This Row],[TOW02.1]]*CONTRATTO!$D$71+MEV[[#This Row],[TOW02.2]]*CONTRATTO!$D$72+MEV[[#This Row],[TOW02.3]]*CONTRATTO!$D$73+MEV[[#This Row],[TOW02.4]]*CONTRATTO!$D$74+MEV[[#This Row],[TOW02.5]]+MEV[[#This Row],[TOW02.6]]*CONTRATTO!$D$76</f>
        <v>74199.615999999995</v>
      </c>
      <c r="AE22" s="6">
        <f>SUMIF(ORDINI[MEV],MEV[[#This Row],[X ORDINE]],ORDINI[Valore Posizione])</f>
        <v>0</v>
      </c>
      <c r="AF22" s="6">
        <f>SUMIF(ORDINI[MEV],MEV[[#This Row],[X ORDINE]],ORDINI[Totale Fatturato])</f>
        <v>0</v>
      </c>
      <c r="AG22" s="6">
        <f>MEV[[#This Row],[Ordinato (BdO)]]-MEV[[#This Row],[Fatturato]]</f>
        <v>0</v>
      </c>
      <c r="AH22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"&amp;E22&amp;".xlsx","")</f>
        <v>https://capgemini.sharepoint.com/:f:/r/sites/LOGISTICA-GOVERNANCE2/Shared%20Documents/General/GARA%202025/ECONOMICS/TabelleOfferte/R.26.07/Tabella Offerta - 143247_ILP_ILP - Rientri sicurezza CodeReview.xlsx</v>
      </c>
    </row>
    <row r="23" spans="1:35" s="267" customFormat="1" ht="16.25" customHeight="1" x14ac:dyDescent="0.2">
      <c r="A23" s="3">
        <f t="shared" si="0"/>
        <v>21</v>
      </c>
      <c r="B23" s="3" t="s">
        <v>1000</v>
      </c>
      <c r="C23" s="554" t="s">
        <v>153</v>
      </c>
      <c r="D23" s="3" t="str">
        <f>CONCATENATE(MEV[[#This Row],[GoTo]],"_",MEV[[#This Row],[Applicativo]])</f>
        <v>143247_SCO_SORTING CONTROLLER</v>
      </c>
      <c r="E23" s="8" t="s">
        <v>997</v>
      </c>
      <c r="F23" s="267" t="s">
        <v>32</v>
      </c>
      <c r="G23" s="267" t="s">
        <v>24</v>
      </c>
      <c r="H23" s="3">
        <v>2026</v>
      </c>
      <c r="I23" s="475" t="s">
        <v>134</v>
      </c>
      <c r="J23" s="3" t="s">
        <v>288</v>
      </c>
      <c r="K23" s="3"/>
      <c r="L23" s="268" t="s">
        <v>25</v>
      </c>
      <c r="M23" s="507">
        <v>9232.27</v>
      </c>
      <c r="N23" s="6" t="s">
        <v>623</v>
      </c>
      <c r="O23" s="6">
        <f>IF(MEV[[#This Row],[Importo Fornitura]]&gt;0,MEV[[#This Row],[Importo Fornitura]]-(MEV[[#This Row],[Importo Fornitura]]*VLOOKUP(MEV[[#This Row],[Tipo Contratto]],CONTRATTO!$B$4:$F$15,5,FALSE)),"")</f>
        <v>9232.27</v>
      </c>
      <c r="P23" s="269" t="s">
        <v>1058</v>
      </c>
      <c r="Q23" s="269"/>
      <c r="R23" s="269"/>
      <c r="S23" s="269"/>
      <c r="T23" s="3"/>
      <c r="U23" s="267" t="e">
        <f>VLOOKUP(MEV[[#This Row],[X ORDINE]],ORDINI!$A$2:$I$26,2,FALSE)</f>
        <v>#N/A</v>
      </c>
      <c r="V23" s="270" t="e">
        <f>VLOOKUP(MEV[[#This Row],[BC]],CONTRATTO!$B$20:$C$60,2,FALSE)</f>
        <v>#N/A</v>
      </c>
      <c r="W23" s="3" t="e">
        <f>VLOOKUP(MEV[[#This Row],[BC]],CONTRATTO!$B$20:$E$60,4,FALSE)</f>
        <v>#N/A</v>
      </c>
      <c r="X23" s="271">
        <v>0.41</v>
      </c>
      <c r="Y23" s="271">
        <v>0</v>
      </c>
      <c r="Z23" s="271">
        <v>0.38</v>
      </c>
      <c r="AA23" s="271">
        <v>0.46100000000000002</v>
      </c>
      <c r="AB23" s="404">
        <v>6000</v>
      </c>
      <c r="AC23" s="272"/>
      <c r="AD23" s="6">
        <f>MEV[[#This Row],[TOW02.1]]*CONTRATTO!$D$71+MEV[[#This Row],[TOW02.2]]*CONTRATTO!$D$72+MEV[[#This Row],[TOW02.3]]*CONTRATTO!$D$73+MEV[[#This Row],[TOW02.4]]*CONTRATTO!$D$74+MEV[[#This Row],[TOW02.5]]+MEV[[#This Row],[TOW02.6]]*CONTRATTO!$D$76</f>
        <v>9232.2720000000008</v>
      </c>
      <c r="AE23" s="6">
        <f>SUMIF(ORDINI[MEV],MEV[[#This Row],[X ORDINE]],ORDINI[Valore Posizione])</f>
        <v>0</v>
      </c>
      <c r="AF23" s="6">
        <f>SUMIF(ORDINI[MEV],MEV[[#This Row],[X ORDINE]],ORDINI[Totale Fatturato])</f>
        <v>0</v>
      </c>
      <c r="AG23" s="6">
        <f>MEV[[#This Row],[Ordinato (BdO)]]-MEV[[#This Row],[Fatturato]]</f>
        <v>0</v>
      </c>
      <c r="AH23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"&amp;E23&amp;".xlsx","")</f>
        <v>https://capgemini.sharepoint.com/:f:/r/sites/LOGISTICA-GOVERNANCE2/Shared%20Documents/General/GARA%202025/ECONOMICS/TabelleOfferte/R.26.07/Tabella Offerta - 143247_SCO_SORTING CONTROLLER - Rientri sicurezza CodeReview.xlsx</v>
      </c>
    </row>
    <row r="24" spans="1:35" s="267" customFormat="1" ht="16.25" customHeight="1" x14ac:dyDescent="0.2">
      <c r="A24" s="3">
        <f t="shared" si="0"/>
        <v>22</v>
      </c>
      <c r="B24" s="3" t="s">
        <v>880</v>
      </c>
      <c r="C24" s="266" t="s">
        <v>26</v>
      </c>
      <c r="D24" s="3" t="str">
        <f>CONCATENATE(MEV[[#This Row],[GoTo]],"_",MEV[[#This Row],[Applicativo]])</f>
        <v>138512_F1_NPSO</v>
      </c>
      <c r="E24" s="8" t="s">
        <v>1043</v>
      </c>
      <c r="F24" s="267" t="s">
        <v>43</v>
      </c>
      <c r="G24" s="267" t="s">
        <v>24</v>
      </c>
      <c r="H24" s="3">
        <v>2026</v>
      </c>
      <c r="I24" s="475" t="s">
        <v>134</v>
      </c>
      <c r="J24" s="3" t="s">
        <v>288</v>
      </c>
      <c r="K24" s="3"/>
      <c r="L24" s="268" t="s">
        <v>25</v>
      </c>
      <c r="M24" s="507">
        <v>151860.23000000001</v>
      </c>
      <c r="N24" s="6" t="s">
        <v>623</v>
      </c>
      <c r="O24" s="6">
        <f>IF(MEV[[#This Row],[Importo Fornitura]]&gt;0,MEV[[#This Row],[Importo Fornitura]]-(MEV[[#This Row],[Importo Fornitura]]*VLOOKUP(MEV[[#This Row],[Tipo Contratto]],CONTRATTO!$B$4:$F$15,5,FALSE)),"")</f>
        <v>151860.23000000001</v>
      </c>
      <c r="P24" s="269" t="s">
        <v>1065</v>
      </c>
      <c r="Q24" s="269"/>
      <c r="R24" s="269"/>
      <c r="S24" s="269"/>
      <c r="T24" s="3"/>
      <c r="U24" s="267" t="e">
        <f>VLOOKUP(MEV[[#This Row],[X ORDINE]],ORDINI!$A$2:$I$26,2,FALSE)</f>
        <v>#N/A</v>
      </c>
      <c r="V24" s="270" t="e">
        <f>VLOOKUP(MEV[[#This Row],[BC]],CONTRATTO!$B$20:$C$60,2,FALSE)</f>
        <v>#N/A</v>
      </c>
      <c r="W24" s="3" t="e">
        <f>VLOOKUP(MEV[[#This Row],[BC]],CONTRATTO!$B$20:$E$60,4,FALSE)</f>
        <v>#N/A</v>
      </c>
      <c r="X24" s="273">
        <v>6.7350000000000003</v>
      </c>
      <c r="Y24" s="273">
        <v>0</v>
      </c>
      <c r="Z24" s="273">
        <v>6.2539999999999987</v>
      </c>
      <c r="AA24" s="273">
        <v>7.5789999999999997</v>
      </c>
      <c r="AB24" s="404">
        <v>98719.5</v>
      </c>
      <c r="AC24" s="274"/>
      <c r="AD24" s="6">
        <f>MEV[[#This Row],[TOW02.1]]*CONTRATTO!$D$71+MEV[[#This Row],[TOW02.2]]*CONTRATTO!$D$72+MEV[[#This Row],[TOW02.3]]*CONTRATTO!$D$73+MEV[[#This Row],[TOW02.4]]*CONTRATTO!$D$74+MEV[[#This Row],[TOW02.5]]+MEV[[#This Row],[TOW02.6]]*CONTRATTO!$D$76</f>
        <v>151860.22700000001</v>
      </c>
      <c r="AE24" s="6">
        <f>SUMIF(ORDINI[MEV],MEV[[#This Row],[X ORDINE]],ORDINI[Valore Posizione])</f>
        <v>0</v>
      </c>
      <c r="AF24" s="6">
        <f>SUMIF(ORDINI[MEV],MEV[[#This Row],[X ORDINE]],ORDINI[Totale Fatturato])</f>
        <v>0</v>
      </c>
      <c r="AG24" s="6">
        <f>MEV[[#This Row],[Ordinato (BdO)]]-MEV[[#This Row],[Fatturato]]</f>
        <v>0</v>
      </c>
      <c r="AH24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"&amp;E24&amp;".xlsx","")</f>
        <v>https://capgemini.sharepoint.com/:f:/r/sites/LOGISTICA-GOVERNANCE2/Shared%20Documents/General/GARA%202025/ECONOMICS/TabelleOfferte/R.26.07/Tabella Offerta - 138512_F1_NPSO - Accettazione multicliente - Fase 1.xlsx</v>
      </c>
    </row>
    <row r="25" spans="1:35" s="267" customFormat="1" ht="16.25" customHeight="1" x14ac:dyDescent="0.2">
      <c r="A25" s="3">
        <f t="shared" si="0"/>
        <v>23</v>
      </c>
      <c r="B25" s="3" t="s">
        <v>881</v>
      </c>
      <c r="C25" s="266" t="s">
        <v>26</v>
      </c>
      <c r="D25" s="3" t="str">
        <f>CONCATENATE(MEV[[#This Row],[GoTo]],"_",MEV[[#This Row],[Applicativo]])</f>
        <v>138512_F2_NPSO</v>
      </c>
      <c r="E25" s="8" t="s">
        <v>1044</v>
      </c>
      <c r="F25" s="267" t="s">
        <v>43</v>
      </c>
      <c r="G25" s="267" t="s">
        <v>24</v>
      </c>
      <c r="H25" s="3">
        <v>2026</v>
      </c>
      <c r="I25" s="475" t="s">
        <v>137</v>
      </c>
      <c r="J25" s="3"/>
      <c r="K25" s="3"/>
      <c r="L25" s="268" t="s">
        <v>37</v>
      </c>
      <c r="M25" s="507">
        <v>386030.25</v>
      </c>
      <c r="N25" s="6" t="s">
        <v>623</v>
      </c>
      <c r="O25" s="6">
        <f>IF(MEV[[#This Row],[Importo Fornitura]]&gt;0,MEV[[#This Row],[Importo Fornitura]]-(MEV[[#This Row],[Importo Fornitura]]*VLOOKUP(MEV[[#This Row],[Tipo Contratto]],CONTRATTO!$B$4:$F$15,5,FALSE)),"")</f>
        <v>386030.25</v>
      </c>
      <c r="P25" s="269" t="s">
        <v>879</v>
      </c>
      <c r="Q25" s="269"/>
      <c r="R25" s="269"/>
      <c r="S25" s="269"/>
      <c r="T25" s="3"/>
      <c r="U25" s="267" t="e">
        <f>VLOOKUP(MEV[[#This Row],[X ORDINE]],ORDINI!$A$2:$I$26,2,FALSE)</f>
        <v>#N/A</v>
      </c>
      <c r="V25" s="270" t="e">
        <f>VLOOKUP(MEV[[#This Row],[BC]],CONTRATTO!$B$20:$C$60,2,FALSE)</f>
        <v>#N/A</v>
      </c>
      <c r="W25" s="3" t="e">
        <f>VLOOKUP(MEV[[#This Row],[BC]],CONTRATTO!$B$20:$E$60,4,FALSE)</f>
        <v>#N/A</v>
      </c>
      <c r="X25" s="273">
        <v>16.314</v>
      </c>
      <c r="Y25" s="273">
        <v>26.700000000000003</v>
      </c>
      <c r="Z25" s="273">
        <v>15.147</v>
      </c>
      <c r="AA25" s="273">
        <v>18.362000000000002</v>
      </c>
      <c r="AB25" s="404">
        <v>16530</v>
      </c>
      <c r="AC25" s="274"/>
      <c r="AD25" s="6">
        <f>MEV[[#This Row],[TOW02.1]]*CONTRATTO!$D$71+MEV[[#This Row],[TOW02.2]]*CONTRATTO!$D$72+MEV[[#This Row],[TOW02.3]]*CONTRATTO!$D$73+MEV[[#This Row],[TOW02.4]]*CONTRATTO!$D$74+MEV[[#This Row],[TOW02.5]]+MEV[[#This Row],[TOW02.6]]*CONTRATTO!$D$76</f>
        <v>386030.25400000002</v>
      </c>
      <c r="AE25" s="6">
        <f>SUMIF(ORDINI[MEV],MEV[[#This Row],[X ORDINE]],ORDINI[Valore Posizione])</f>
        <v>0</v>
      </c>
      <c r="AF25" s="6">
        <f>SUMIF(ORDINI[MEV],MEV[[#This Row],[X ORDINE]],ORDINI[Totale Fatturato])</f>
        <v>0</v>
      </c>
      <c r="AG25" s="6">
        <f>MEV[[#This Row],[Ordinato (BdO)]]-MEV[[#This Row],[Fatturato]]</f>
        <v>0</v>
      </c>
      <c r="AH25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"&amp;E25&amp;".xlsx","")</f>
        <v/>
      </c>
    </row>
    <row r="26" spans="1:35" s="267" customFormat="1" ht="16.25" customHeight="1" x14ac:dyDescent="0.2">
      <c r="A26" s="3">
        <f t="shared" si="0"/>
        <v>24</v>
      </c>
      <c r="B26" s="3">
        <v>138512</v>
      </c>
      <c r="C26" s="266" t="s">
        <v>72</v>
      </c>
      <c r="D26" s="3" t="str">
        <f>CONCATENATE(MEV[[#This Row],[GoTo]],"_",MEV[[#This Row],[Applicativo]])</f>
        <v>138512_SAP EM / Mediation</v>
      </c>
      <c r="E26" s="8" t="s">
        <v>976</v>
      </c>
      <c r="F26" s="267" t="s">
        <v>58</v>
      </c>
      <c r="G26" s="267" t="s">
        <v>34</v>
      </c>
      <c r="H26" s="3">
        <v>2026</v>
      </c>
      <c r="I26" s="3" t="s">
        <v>134</v>
      </c>
      <c r="J26" s="3"/>
      <c r="K26" s="3"/>
      <c r="L26" s="268" t="s">
        <v>65</v>
      </c>
      <c r="M26" s="6"/>
      <c r="N26" s="6" t="s">
        <v>623</v>
      </c>
      <c r="O26" s="6" t="str">
        <f>IF(MEV[[#This Row],[Importo Fornitura]]&gt;0,MEV[[#This Row],[Importo Fornitura]]-(MEV[[#This Row],[Importo Fornitura]]*VLOOKUP(MEV[[#This Row],[Tipo Contratto]],CONTRATTO!$B$4:$F$15,5,FALSE)),"")</f>
        <v/>
      </c>
      <c r="P26" s="269"/>
      <c r="Q26" s="269"/>
      <c r="R26" s="269"/>
      <c r="S26" s="269"/>
      <c r="T26" s="3"/>
      <c r="U26" s="267" t="e">
        <f>VLOOKUP(MEV[[#This Row],[X ORDINE]],ORDINI!$A$2:$I$26,2,FALSE)</f>
        <v>#N/A</v>
      </c>
      <c r="V26" s="270" t="e">
        <f>VLOOKUP(MEV[[#This Row],[BC]],CONTRATTO!$B$20:$C$60,2,FALSE)</f>
        <v>#N/A</v>
      </c>
      <c r="W26" s="3" t="e">
        <f>VLOOKUP(MEV[[#This Row],[BC]],CONTRATTO!$B$20:$E$60,4,FALSE)</f>
        <v>#N/A</v>
      </c>
      <c r="X26" s="273"/>
      <c r="Y26" s="273"/>
      <c r="Z26" s="273"/>
      <c r="AA26" s="273"/>
      <c r="AB26" s="404"/>
      <c r="AC26" s="274"/>
      <c r="AD26" s="6">
        <f>MEV[[#This Row],[TOW02.1]]*CONTRATTO!$D$71+MEV[[#This Row],[TOW02.2]]*CONTRATTO!$D$72+MEV[[#This Row],[TOW02.3]]*CONTRATTO!$D$73+MEV[[#This Row],[TOW02.4]]*CONTRATTO!$D$74+MEV[[#This Row],[TOW02.5]]+MEV[[#This Row],[TOW02.6]]*CONTRATTO!$D$76</f>
        <v>0</v>
      </c>
      <c r="AE26" s="6">
        <f>SUMIF(ORDINI[MEV],MEV[[#This Row],[X ORDINE]],ORDINI[Valore Posizione])</f>
        <v>0</v>
      </c>
      <c r="AF26" s="6">
        <f>SUMIF(ORDINI[MEV],MEV[[#This Row],[X ORDINE]],ORDINI[Totale Fatturato])</f>
        <v>0</v>
      </c>
      <c r="AG26" s="6">
        <f>MEV[[#This Row],[Ordinato (BdO)]]-MEV[[#This Row],[Fatturato]]</f>
        <v>0</v>
      </c>
      <c r="AH26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"&amp;E26&amp;".xlsx","")</f>
        <v/>
      </c>
    </row>
    <row r="27" spans="1:35" s="267" customFormat="1" ht="16.25" customHeight="1" x14ac:dyDescent="0.2">
      <c r="A27" s="3">
        <f t="shared" si="0"/>
        <v>25</v>
      </c>
      <c r="B27" s="3">
        <v>141780</v>
      </c>
      <c r="C27" s="266" t="s">
        <v>36</v>
      </c>
      <c r="D27" s="3" t="str">
        <f>CONCATENATE(MEV[[#This Row],[GoTo]],"_",MEV[[#This Row],[Applicativo]])</f>
        <v>141780_BEP</v>
      </c>
      <c r="E27" s="8" t="s">
        <v>928</v>
      </c>
      <c r="F27" s="267" t="s">
        <v>43</v>
      </c>
      <c r="G27" s="267" t="s">
        <v>24</v>
      </c>
      <c r="H27" s="3">
        <v>2026</v>
      </c>
      <c r="I27" s="475" t="s">
        <v>134</v>
      </c>
      <c r="J27" s="3" t="s">
        <v>288</v>
      </c>
      <c r="K27" s="3"/>
      <c r="L27" s="268" t="s">
        <v>25</v>
      </c>
      <c r="M27" s="507">
        <v>24865.759999999998</v>
      </c>
      <c r="N27" s="6" t="s">
        <v>623</v>
      </c>
      <c r="O27" s="6">
        <f>IF(MEV[[#This Row],[Importo Fornitura]]&gt;0,MEV[[#This Row],[Importo Fornitura]]-(MEV[[#This Row],[Importo Fornitura]]*VLOOKUP(MEV[[#This Row],[Tipo Contratto]],CONTRATTO!$B$4:$F$15,5,FALSE)),"")</f>
        <v>24865.759999999998</v>
      </c>
      <c r="P27" s="269" t="s">
        <v>1062</v>
      </c>
      <c r="Q27" s="269"/>
      <c r="R27" s="269"/>
      <c r="S27" s="269"/>
      <c r="T27" s="3"/>
      <c r="U27" s="267" t="e">
        <f>VLOOKUP(MEV[[#This Row],[X ORDINE]],ORDINI!$A$2:$I$26,2,FALSE)</f>
        <v>#N/A</v>
      </c>
      <c r="V27" s="270" t="e">
        <f>VLOOKUP(MEV[[#This Row],[BC]],CONTRATTO!$B$20:$C$60,2,FALSE)</f>
        <v>#N/A</v>
      </c>
      <c r="W27" s="3" t="e">
        <f>VLOOKUP(MEV[[#This Row],[BC]],CONTRATTO!$B$20:$E$60,4,FALSE)</f>
        <v>#N/A</v>
      </c>
      <c r="X27" s="271">
        <v>2.649</v>
      </c>
      <c r="Y27" s="271">
        <v>0</v>
      </c>
      <c r="Z27" s="271">
        <v>0.75</v>
      </c>
      <c r="AA27" s="271">
        <v>0.91</v>
      </c>
      <c r="AB27" s="404">
        <v>11850</v>
      </c>
      <c r="AC27" s="272"/>
      <c r="AD27" s="6">
        <f>MEV[[#This Row],[TOW02.1]]*CONTRATTO!$D$71+MEV[[#This Row],[TOW02.2]]*CONTRATTO!$D$72+MEV[[#This Row],[TOW02.3]]*CONTRATTO!$D$73+MEV[[#This Row],[TOW02.4]]*CONTRATTO!$D$74+MEV[[#This Row],[TOW02.5]]+MEV[[#This Row],[TOW02.6]]*CONTRATTO!$D$76</f>
        <v>24865.762999999999</v>
      </c>
      <c r="AE27" s="6">
        <f>SUMIF(ORDINI[MEV],MEV[[#This Row],[X ORDINE]],ORDINI[Valore Posizione])</f>
        <v>0</v>
      </c>
      <c r="AF27" s="6">
        <f>SUMIF(ORDINI[MEV],MEV[[#This Row],[X ORDINE]],ORDINI[Totale Fatturato])</f>
        <v>0</v>
      </c>
      <c r="AG27" s="6">
        <f>MEV[[#This Row],[Ordinato (BdO)]]-MEV[[#This Row],[Fatturato]]</f>
        <v>0</v>
      </c>
      <c r="AH27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"&amp;E27&amp;".xlsx","")</f>
        <v>https://capgemini.sharepoint.com/:f:/r/sites/LOGISTICA-GOVERNANCE2/Shared%20Documents/General/GARA%202025/ECONOMICS/TabelleOfferte/R.26.07/Tabella Offerta - 141780_BEP - Logistica sanitaria e offerta pharma (add on).xlsx</v>
      </c>
    </row>
    <row r="28" spans="1:35" s="518" customFormat="1" ht="16.25" customHeight="1" x14ac:dyDescent="0.2">
      <c r="A28" s="515">
        <f t="shared" si="0"/>
        <v>26</v>
      </c>
      <c r="B28" s="515">
        <v>141780</v>
      </c>
      <c r="C28" s="516" t="s">
        <v>72</v>
      </c>
      <c r="D28" s="515" t="str">
        <f>CONCATENATE(MEV[[#This Row],[GoTo]],"_",MEV[[#This Row],[Applicativo]])</f>
        <v>141780_SAP EM / Mediation</v>
      </c>
      <c r="E28" s="517" t="s">
        <v>998</v>
      </c>
      <c r="F28" s="518" t="s">
        <v>58</v>
      </c>
      <c r="G28" s="518" t="s">
        <v>34</v>
      </c>
      <c r="H28" s="515">
        <v>2026</v>
      </c>
      <c r="I28" s="519" t="s">
        <v>134</v>
      </c>
      <c r="J28" s="3"/>
      <c r="K28" s="3"/>
      <c r="L28" s="520" t="s">
        <v>33</v>
      </c>
      <c r="M28" s="521"/>
      <c r="N28" s="521"/>
      <c r="O28" s="521" t="str">
        <f>IF(MEV[[#This Row],[Importo Fornitura]]&gt;0,MEV[[#This Row],[Importo Fornitura]]-(MEV[[#This Row],[Importo Fornitura]]*VLOOKUP(MEV[[#This Row],[Tipo Contratto]],CONTRATTO!$B$4:$F$15,5,FALSE)),"")</f>
        <v/>
      </c>
      <c r="P28" s="522"/>
      <c r="Q28" s="522"/>
      <c r="R28" s="522"/>
      <c r="S28" s="522"/>
      <c r="T28" s="515"/>
      <c r="U28" s="518" t="e">
        <f>VLOOKUP(MEV[[#This Row],[X ORDINE]],ORDINI!$A$2:$I$26,2,FALSE)</f>
        <v>#N/A</v>
      </c>
      <c r="V28" s="523" t="e">
        <f>VLOOKUP(MEV[[#This Row],[BC]],CONTRATTO!$B$20:$C$60,2,FALSE)</f>
        <v>#N/A</v>
      </c>
      <c r="W28" s="515" t="e">
        <f>VLOOKUP(MEV[[#This Row],[BC]],CONTRATTO!$B$20:$E$60,4,FALSE)</f>
        <v>#N/A</v>
      </c>
      <c r="X28" s="524"/>
      <c r="Y28" s="524"/>
      <c r="Z28" s="524"/>
      <c r="AA28" s="524"/>
      <c r="AB28" s="525"/>
      <c r="AC28" s="526"/>
      <c r="AD28" s="521">
        <f>MEV[[#This Row],[TOW02.1]]*CONTRATTO!$D$71+MEV[[#This Row],[TOW02.2]]*CONTRATTO!$D$72+MEV[[#This Row],[TOW02.3]]*CONTRATTO!$D$73+MEV[[#This Row],[TOW02.4]]*CONTRATTO!$D$74+MEV[[#This Row],[TOW02.5]]+MEV[[#This Row],[TOW02.6]]*CONTRATTO!$D$76</f>
        <v>0</v>
      </c>
      <c r="AE28" s="521">
        <f>SUMIF(ORDINI[MEV],MEV[[#This Row],[X ORDINE]],ORDINI[Valore Posizione])</f>
        <v>0</v>
      </c>
      <c r="AF28" s="521">
        <f>SUMIF(ORDINI[MEV],MEV[[#This Row],[X ORDINE]],ORDINI[Totale Fatturato])</f>
        <v>0</v>
      </c>
      <c r="AG28" s="521">
        <f>MEV[[#This Row],[Ordinato (BdO)]]-MEV[[#This Row],[Fatturato]]</f>
        <v>0</v>
      </c>
      <c r="AH28" s="518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"&amp;E28&amp;".xlsx","")</f>
        <v/>
      </c>
    </row>
    <row r="29" spans="1:35" s="267" customFormat="1" ht="16.25" customHeight="1" x14ac:dyDescent="0.2">
      <c r="A29" s="3">
        <f>A28+1</f>
        <v>27</v>
      </c>
      <c r="B29" s="3">
        <v>142379</v>
      </c>
      <c r="C29" s="266" t="s">
        <v>52</v>
      </c>
      <c r="D29" s="3" t="str">
        <f>CONCATENATE(MEV[[#This Row],[GoTo]],"_",MEV[[#This Row],[Applicativo]])</f>
        <v>142379_FMS</v>
      </c>
      <c r="E29" s="8" t="s">
        <v>931</v>
      </c>
      <c r="F29" s="267" t="s">
        <v>55</v>
      </c>
      <c r="G29" s="267" t="s">
        <v>968</v>
      </c>
      <c r="H29" s="3">
        <v>2026</v>
      </c>
      <c r="I29" s="475" t="s">
        <v>137</v>
      </c>
      <c r="J29" s="3"/>
      <c r="K29" s="3"/>
      <c r="L29" s="268" t="s">
        <v>37</v>
      </c>
      <c r="M29" s="507">
        <v>107225.58</v>
      </c>
      <c r="N29" s="6" t="s">
        <v>623</v>
      </c>
      <c r="O29" s="6">
        <f>IF(MEV[[#This Row],[Importo Fornitura]]&gt;0,MEV[[#This Row],[Importo Fornitura]]-(MEV[[#This Row],[Importo Fornitura]]*VLOOKUP(MEV[[#This Row],[Tipo Contratto]],CONTRATTO!$B$4:$F$15,5,FALSE)),"")</f>
        <v>107225.58</v>
      </c>
      <c r="P29" s="269" t="s">
        <v>967</v>
      </c>
      <c r="Q29" s="269"/>
      <c r="R29" s="269"/>
      <c r="S29" s="269"/>
      <c r="T29" s="3"/>
      <c r="U29" s="267" t="e">
        <f>VLOOKUP(MEV[[#This Row],[X ORDINE]],ORDINI!$A$2:$I$26,2,FALSE)</f>
        <v>#N/A</v>
      </c>
      <c r="V29" s="270" t="e">
        <f>VLOOKUP(MEV[[#This Row],[BC]],CONTRATTO!$B$20:$C$60,2,FALSE)</f>
        <v>#N/A</v>
      </c>
      <c r="W29" s="3" t="e">
        <f>VLOOKUP(MEV[[#This Row],[BC]],CONTRATTO!$B$20:$E$60,4,FALSE)</f>
        <v>#N/A</v>
      </c>
      <c r="X29" s="271">
        <v>7.6960000000000006</v>
      </c>
      <c r="Y29" s="271">
        <v>0</v>
      </c>
      <c r="Z29" s="271">
        <v>3.893999999999997</v>
      </c>
      <c r="AA29" s="271">
        <v>4.7200000000000006</v>
      </c>
      <c r="AB29" s="404">
        <v>61503.200000000004</v>
      </c>
      <c r="AC29" s="272"/>
      <c r="AD29" s="6">
        <f>MEV[[#This Row],[TOW02.1]]*CONTRATTO!$D$71+MEV[[#This Row],[TOW02.2]]*CONTRATTO!$D$72+MEV[[#This Row],[TOW02.3]]*CONTRATTO!$D$73+MEV[[#This Row],[TOW02.4]]*CONTRATTO!$D$74+MEV[[#This Row],[TOW02.5]]+MEV[[#This Row],[TOW02.6]]*CONTRATTO!$D$76</f>
        <v>107225.576</v>
      </c>
      <c r="AE29" s="6">
        <f>SUMIF(ORDINI[MEV],MEV[[#This Row],[X ORDINE]],ORDINI[Valore Posizione])</f>
        <v>0</v>
      </c>
      <c r="AF29" s="6">
        <f>SUMIF(ORDINI[MEV],MEV[[#This Row],[X ORDINE]],ORDINI[Totale Fatturato])</f>
        <v>0</v>
      </c>
      <c r="AG29" s="6">
        <f>MEV[[#This Row],[Ordinato (BdO)]]-MEV[[#This Row],[Fatturato]]</f>
        <v>0</v>
      </c>
      <c r="AH29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"&amp;E29&amp;".xlsx","")</f>
        <v/>
      </c>
    </row>
    <row r="30" spans="1:35" s="267" customFormat="1" ht="16.25" customHeight="1" x14ac:dyDescent="0.2">
      <c r="A30" s="3">
        <f t="shared" si="0"/>
        <v>28</v>
      </c>
      <c r="B30" s="3">
        <v>143509</v>
      </c>
      <c r="C30" s="266" t="s">
        <v>26</v>
      </c>
      <c r="D30" s="3" t="str">
        <f>CONCATENATE(MEV[[#This Row],[GoTo]],"_",MEV[[#This Row],[Applicativo]])</f>
        <v>143509_NPSO</v>
      </c>
      <c r="E30" s="8" t="s">
        <v>929</v>
      </c>
      <c r="F30" s="267" t="s">
        <v>43</v>
      </c>
      <c r="G30" s="267" t="s">
        <v>24</v>
      </c>
      <c r="H30" s="3">
        <v>2026</v>
      </c>
      <c r="I30" s="475" t="s">
        <v>134</v>
      </c>
      <c r="J30" s="3"/>
      <c r="K30" s="3"/>
      <c r="L30" s="268" t="s">
        <v>66</v>
      </c>
      <c r="M30" s="507">
        <v>19280.95</v>
      </c>
      <c r="N30" s="6" t="s">
        <v>623</v>
      </c>
      <c r="O30" s="6">
        <f>IF(MEV[[#This Row],[Importo Fornitura]]&gt;0,MEV[[#This Row],[Importo Fornitura]]-(MEV[[#This Row],[Importo Fornitura]]*VLOOKUP(MEV[[#This Row],[Tipo Contratto]],CONTRATTO!$B$4:$F$15,5,FALSE)),"")</f>
        <v>19280.95</v>
      </c>
      <c r="P30" s="269" t="s">
        <v>1068</v>
      </c>
      <c r="Q30" s="269"/>
      <c r="R30" s="269"/>
      <c r="S30" s="269"/>
      <c r="T30" s="3"/>
      <c r="U30" s="267" t="e">
        <f>VLOOKUP(MEV[[#This Row],[X ORDINE]],ORDINI!$A$2:$I$26,2,FALSE)</f>
        <v>#N/A</v>
      </c>
      <c r="V30" s="270" t="e">
        <f>VLOOKUP(MEV[[#This Row],[BC]],CONTRATTO!$B$20:$C$60,2,FALSE)</f>
        <v>#N/A</v>
      </c>
      <c r="W30" s="3" t="e">
        <f>VLOOKUP(MEV[[#This Row],[BC]],CONTRATTO!$B$20:$E$60,4,FALSE)</f>
        <v>#N/A</v>
      </c>
      <c r="X30" s="271">
        <v>3.0649999999999999</v>
      </c>
      <c r="Y30" s="271">
        <v>0</v>
      </c>
      <c r="Z30" s="271">
        <v>0.40200000000000002</v>
      </c>
      <c r="AA30" s="271">
        <v>0.48899999999999999</v>
      </c>
      <c r="AB30" s="404">
        <v>6369</v>
      </c>
      <c r="AC30" s="272"/>
      <c r="AD30" s="6">
        <f>MEV[[#This Row],[TOW02.1]]*CONTRATTO!$D$71+MEV[[#This Row],[TOW02.2]]*CONTRATTO!$D$72+MEV[[#This Row],[TOW02.3]]*CONTRATTO!$D$73+MEV[[#This Row],[TOW02.4]]*CONTRATTO!$D$74+MEV[[#This Row],[TOW02.5]]+MEV[[#This Row],[TOW02.6]]*CONTRATTO!$D$76</f>
        <v>19280.945</v>
      </c>
      <c r="AE30" s="6">
        <f>SUMIF(ORDINI[MEV],MEV[[#This Row],[X ORDINE]],ORDINI[Valore Posizione])</f>
        <v>0</v>
      </c>
      <c r="AF30" s="6">
        <f>SUMIF(ORDINI[MEV],MEV[[#This Row],[X ORDINE]],ORDINI[Totale Fatturato])</f>
        <v>0</v>
      </c>
      <c r="AG30" s="6">
        <f>MEV[[#This Row],[Ordinato (BdO)]]-MEV[[#This Row],[Fatturato]]</f>
        <v>0</v>
      </c>
      <c r="AH30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"&amp;E30&amp;".xlsx","")</f>
        <v/>
      </c>
    </row>
    <row r="31" spans="1:35" s="267" customFormat="1" ht="16.25" customHeight="1" x14ac:dyDescent="0.2">
      <c r="A31" s="3">
        <f t="shared" si="0"/>
        <v>29</v>
      </c>
      <c r="B31" s="3">
        <v>142030</v>
      </c>
      <c r="C31" s="266" t="s">
        <v>56</v>
      </c>
      <c r="D31" s="3" t="str">
        <f>CONCATENATE(MEV[[#This Row],[GoTo]],"_",MEV[[#This Row],[Applicativo]])</f>
        <v>142030_SGT</v>
      </c>
      <c r="E31" s="8" t="s">
        <v>875</v>
      </c>
      <c r="F31" s="267" t="s">
        <v>55</v>
      </c>
      <c r="G31" s="267" t="s">
        <v>876</v>
      </c>
      <c r="H31" s="3">
        <v>2026</v>
      </c>
      <c r="I31" s="3" t="s">
        <v>137</v>
      </c>
      <c r="J31" s="3"/>
      <c r="K31" s="3"/>
      <c r="L31" s="268" t="s">
        <v>66</v>
      </c>
      <c r="M31" s="507">
        <v>9944.3799999999992</v>
      </c>
      <c r="N31" s="6" t="s">
        <v>623</v>
      </c>
      <c r="O31" s="6">
        <v>12919.68</v>
      </c>
      <c r="P31" s="269" t="s">
        <v>947</v>
      </c>
      <c r="Q31" s="269"/>
      <c r="R31" s="269"/>
      <c r="S31" s="269"/>
      <c r="T31" s="3"/>
      <c r="U31" s="267" t="e">
        <f>VLOOKUP(MEV[[#This Row],[X ORDINE]],ORDINI!$A$2:$I$26,2,FALSE)</f>
        <v>#N/A</v>
      </c>
      <c r="V31" s="270" t="e">
        <f>VLOOKUP(MEV[[#This Row],[BC]],CONTRATTO!$B$20:$C$60,2,FALSE)</f>
        <v>#N/A</v>
      </c>
      <c r="W31" s="3" t="e">
        <f>VLOOKUP(MEV[[#This Row],[BC]],CONTRATTO!$B$20:$E$60,4,FALSE)</f>
        <v>#N/A</v>
      </c>
      <c r="X31" s="271">
        <v>0.5</v>
      </c>
      <c r="Y31" s="271">
        <v>0.21</v>
      </c>
      <c r="Z31" s="271">
        <v>2</v>
      </c>
      <c r="AA31" s="271">
        <v>2</v>
      </c>
      <c r="AB31" s="404">
        <v>506.4</v>
      </c>
      <c r="AC31" s="3"/>
      <c r="AD31" s="6">
        <f>MEV[[#This Row],[TOW02.1]]*CONTRATTO!$D$71+MEV[[#This Row],[TOW02.2]]*CONTRATTO!$D$72+MEV[[#This Row],[TOW02.3]]*CONTRATTO!$D$73+MEV[[#This Row],[TOW02.4]]*CONTRATTO!$D$74+MEV[[#This Row],[TOW02.5]]+MEV[[#This Row],[TOW02.6]]*CONTRATTO!$D$76</f>
        <v>12919.679999999998</v>
      </c>
      <c r="AE31" s="6">
        <f>SUMIF(ORDINI[MEV],MEV[[#This Row],[X ORDINE]],ORDINI[Valore Posizione])</f>
        <v>0</v>
      </c>
      <c r="AF31" s="6">
        <f>SUMIF(ORDINI[MEV],MEV[[#This Row],[X ORDINE]],ORDINI[Totale Fatturato])</f>
        <v>0</v>
      </c>
      <c r="AG31" s="6">
        <f>MEV[[#This Row],[Ordinato (BdO)]]-MEV[[#This Row],[Fatturato]]</f>
        <v>0</v>
      </c>
      <c r="AH31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"&amp;E31&amp;".xlsx","")</f>
        <v/>
      </c>
    </row>
    <row r="32" spans="1:35" s="267" customFormat="1" ht="16.25" customHeight="1" x14ac:dyDescent="0.2">
      <c r="A32" s="3">
        <f t="shared" si="0"/>
        <v>30</v>
      </c>
      <c r="B32" s="3">
        <v>139552</v>
      </c>
      <c r="C32" s="266" t="s">
        <v>36</v>
      </c>
      <c r="D32" s="3" t="str">
        <f>CONCATENATE(MEV[[#This Row],[GoTo]],"_",MEV[[#This Row],[Applicativo]])</f>
        <v>139552_BEP</v>
      </c>
      <c r="E32" s="10" t="s">
        <v>908</v>
      </c>
      <c r="F32" s="267" t="s">
        <v>35</v>
      </c>
      <c r="G32" s="267" t="s">
        <v>24</v>
      </c>
      <c r="H32" s="3">
        <v>2026</v>
      </c>
      <c r="I32" s="475" t="s">
        <v>137</v>
      </c>
      <c r="J32" s="3" t="s">
        <v>288</v>
      </c>
      <c r="K32" s="3"/>
      <c r="L32" s="268" t="s">
        <v>25</v>
      </c>
      <c r="M32" s="507">
        <v>1237.73</v>
      </c>
      <c r="N32" s="6" t="s">
        <v>623</v>
      </c>
      <c r="O32" s="6">
        <f>IF(MEV[[#This Row],[Importo Fornitura]]&gt;0,MEV[[#This Row],[Importo Fornitura]]-(MEV[[#This Row],[Importo Fornitura]]*VLOOKUP(MEV[[#This Row],[Tipo Contratto]],CONTRATTO!$B$4:$F$15,5,FALSE)),"")</f>
        <v>1237.73</v>
      </c>
      <c r="P32" s="269" t="s">
        <v>918</v>
      </c>
      <c r="Q32" s="269"/>
      <c r="R32" s="269"/>
      <c r="S32" s="269"/>
      <c r="T32" s="3"/>
      <c r="U32" s="267" t="e">
        <f>VLOOKUP(MEV[[#This Row],[X ORDINE]],ORDINI!$A$2:$I$26,2,FALSE)</f>
        <v>#N/A</v>
      </c>
      <c r="V32" s="270" t="e">
        <f>VLOOKUP(MEV[[#This Row],[BC]],CONTRATTO!$B$20:$C$60,2,FALSE)</f>
        <v>#N/A</v>
      </c>
      <c r="W32" s="3" t="e">
        <f>VLOOKUP(MEV[[#This Row],[BC]],CONTRATTO!$B$20:$E$60,4,FALSE)</f>
        <v>#N/A</v>
      </c>
      <c r="X32" s="499">
        <v>6.5000000000000002E-2</v>
      </c>
      <c r="Y32" s="499">
        <v>0</v>
      </c>
      <c r="Z32" s="499">
        <v>6.5000000000000002E-2</v>
      </c>
      <c r="AA32" s="499">
        <v>6.5000000000000002E-2</v>
      </c>
      <c r="AB32" s="496">
        <v>720</v>
      </c>
      <c r="AC32" s="500"/>
      <c r="AD32" s="6">
        <f>MEV[[#This Row],[TOW02.1]]*CONTRATTO!$D$71+MEV[[#This Row],[TOW02.2]]*CONTRATTO!$D$72+MEV[[#This Row],[TOW02.3]]*CONTRATTO!$D$73+MEV[[#This Row],[TOW02.4]]*CONTRATTO!$D$74+MEV[[#This Row],[TOW02.5]]+MEV[[#This Row],[TOW02.6]]*CONTRATTO!$D$76</f>
        <v>1237.7249999999999</v>
      </c>
      <c r="AE32" s="6">
        <f>SUMIF(ORDINI[MEV],MEV[[#This Row],[X ORDINE]],ORDINI[Valore Posizione])</f>
        <v>0</v>
      </c>
      <c r="AF32" s="6">
        <f>SUMIF(ORDINI[MEV],MEV[[#This Row],[X ORDINE]],ORDINI[Totale Fatturato])</f>
        <v>0</v>
      </c>
      <c r="AG32" s="6">
        <f>MEV[[#This Row],[Ordinato (BdO)]]-MEV[[#This Row],[Fatturato]]</f>
        <v>0</v>
      </c>
      <c r="AH32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"&amp;E32&amp;".xlsx","")</f>
        <v>https://capgemini.sharepoint.com/:f:/r/sites/LOGISTICA-GOVERNANCE2/Shared%20Documents/General/GARA%202025/ECONOMICS/TabelleOfferte/R.26.10/Tabella Offerta - 139552_BEP - Supplemento PDB per ritiro in sede diversa da quella certificata.xlsx</v>
      </c>
      <c r="AI32" s="502" t="s">
        <v>991</v>
      </c>
    </row>
    <row r="33" spans="1:34" s="267" customFormat="1" ht="16.25" customHeight="1" x14ac:dyDescent="0.2">
      <c r="A33" s="3">
        <f t="shared" si="0"/>
        <v>31</v>
      </c>
      <c r="B33" s="3" t="s">
        <v>944</v>
      </c>
      <c r="C33" s="266" t="s">
        <v>36</v>
      </c>
      <c r="D33" s="3" t="str">
        <f>CONCATENATE(MEV[[#This Row],[GoTo]],"_",MEV[[#This Row],[Applicativo]])</f>
        <v>139552_1_BEP</v>
      </c>
      <c r="E33" s="10" t="s">
        <v>908</v>
      </c>
      <c r="F33" s="267" t="s">
        <v>35</v>
      </c>
      <c r="G33" s="267" t="s">
        <v>24</v>
      </c>
      <c r="H33" s="3">
        <v>2026</v>
      </c>
      <c r="I33" s="475" t="s">
        <v>137</v>
      </c>
      <c r="J33" s="3"/>
      <c r="K33" s="3"/>
      <c r="L33" s="268" t="s">
        <v>37</v>
      </c>
      <c r="M33" s="507">
        <v>27856.240000000002</v>
      </c>
      <c r="N33" s="6" t="s">
        <v>623</v>
      </c>
      <c r="O33" s="6">
        <f>IF(MEV[[#This Row],[Importo Fornitura]]&gt;0,MEV[[#This Row],[Importo Fornitura]]-(MEV[[#This Row],[Importo Fornitura]]*VLOOKUP(MEV[[#This Row],[Tipo Contratto]],CONTRATTO!$B$4:$F$15,5,FALSE)),"")</f>
        <v>27856.240000000002</v>
      </c>
      <c r="P33" s="269" t="s">
        <v>945</v>
      </c>
      <c r="Q33" s="269"/>
      <c r="R33" s="269"/>
      <c r="S33" s="269"/>
      <c r="T33" s="3"/>
      <c r="U33" s="267" t="e">
        <f>VLOOKUP(MEV[[#This Row],[X ORDINE]],ORDINI!$A$2:$I$26,2,FALSE)</f>
        <v>#N/A</v>
      </c>
      <c r="V33" s="270" t="e">
        <f>VLOOKUP(MEV[[#This Row],[BC]],CONTRATTO!$B$20:$C$60,2,FALSE)</f>
        <v>#N/A</v>
      </c>
      <c r="W33" s="3" t="e">
        <f>VLOOKUP(MEV[[#This Row],[BC]],CONTRATTO!$B$20:$E$60,4,FALSE)</f>
        <v>#N/A</v>
      </c>
      <c r="X33" s="273">
        <v>3.8449999999999998</v>
      </c>
      <c r="Y33" s="273">
        <v>0</v>
      </c>
      <c r="Z33" s="273">
        <v>0.69</v>
      </c>
      <c r="AA33" s="273">
        <v>0.84000000000000008</v>
      </c>
      <c r="AB33" s="404">
        <v>10800</v>
      </c>
      <c r="AC33" s="274"/>
      <c r="AD33" s="6">
        <f>MEV[[#This Row],[TOW02.1]]*CONTRATTO!$D$71+MEV[[#This Row],[TOW02.2]]*CONTRATTO!$D$72+MEV[[#This Row],[TOW02.3]]*CONTRATTO!$D$73+MEV[[#This Row],[TOW02.4]]*CONTRATTO!$D$74+MEV[[#This Row],[TOW02.5]]+MEV[[#This Row],[TOW02.6]]*CONTRATTO!$D$76</f>
        <v>27856.234999999997</v>
      </c>
      <c r="AE33" s="6">
        <f>SUMIF(ORDINI[MEV],MEV[[#This Row],[X ORDINE]],ORDINI[Valore Posizione])</f>
        <v>0</v>
      </c>
      <c r="AF33" s="6">
        <f>SUMIF(ORDINI[MEV],MEV[[#This Row],[X ORDINE]],ORDINI[Totale Fatturato])</f>
        <v>0</v>
      </c>
      <c r="AG33" s="6">
        <f>MEV[[#This Row],[Ordinato (BdO)]]-MEV[[#This Row],[Fatturato]]</f>
        <v>0</v>
      </c>
      <c r="AH33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"&amp;E33&amp;".xlsx","")</f>
        <v/>
      </c>
    </row>
    <row r="34" spans="1:34" s="267" customFormat="1" ht="16.25" customHeight="1" x14ac:dyDescent="0.2">
      <c r="A34" s="3">
        <f t="shared" si="0"/>
        <v>32</v>
      </c>
      <c r="B34" s="3">
        <v>142669</v>
      </c>
      <c r="C34" s="266" t="s">
        <v>26</v>
      </c>
      <c r="D34" s="3" t="str">
        <f>CONCATENATE(MEV[[#This Row],[GoTo]],"_",MEV[[#This Row],[Applicativo]])</f>
        <v>142669_NPSO</v>
      </c>
      <c r="E34" s="8" t="s">
        <v>914</v>
      </c>
      <c r="F34" s="267" t="s">
        <v>43</v>
      </c>
      <c r="G34" s="267" t="s">
        <v>24</v>
      </c>
      <c r="H34" s="3">
        <v>2026</v>
      </c>
      <c r="I34" s="475" t="s">
        <v>137</v>
      </c>
      <c r="J34" s="3"/>
      <c r="K34" s="3"/>
      <c r="L34" s="268" t="s">
        <v>37</v>
      </c>
      <c r="M34" s="507">
        <v>6014.36</v>
      </c>
      <c r="N34" s="6" t="s">
        <v>623</v>
      </c>
      <c r="O34" s="6">
        <f>IF(MEV[[#This Row],[Importo Fornitura]]&gt;0,MEV[[#This Row],[Importo Fornitura]]-(MEV[[#This Row],[Importo Fornitura]]*VLOOKUP(MEV[[#This Row],[Tipo Contratto]],CONTRATTO!$B$4:$F$15,5,FALSE)),"")</f>
        <v>6014.36</v>
      </c>
      <c r="P34" s="269" t="s">
        <v>915</v>
      </c>
      <c r="Q34" s="269"/>
      <c r="R34" s="269"/>
      <c r="S34" s="269"/>
      <c r="T34" s="3"/>
      <c r="U34" s="267" t="e">
        <f>VLOOKUP(MEV[[#This Row],[X ORDINE]],ORDINI!$A$2:$I$26,2,FALSE)</f>
        <v>#N/A</v>
      </c>
      <c r="V34" s="270" t="e">
        <f>VLOOKUP(MEV[[#This Row],[BC]],CONTRATTO!$B$20:$C$60,2,FALSE)</f>
        <v>#N/A</v>
      </c>
      <c r="W34" s="3" t="e">
        <f>VLOOKUP(MEV[[#This Row],[BC]],CONTRATTO!$B$20:$E$60,4,FALSE)</f>
        <v>#N/A</v>
      </c>
      <c r="X34" s="271">
        <v>0.26700000000000002</v>
      </c>
      <c r="Y34" s="271"/>
      <c r="Z34" s="271">
        <v>0.248</v>
      </c>
      <c r="AA34" s="271">
        <v>0.3</v>
      </c>
      <c r="AB34" s="404">
        <v>3908</v>
      </c>
      <c r="AC34" s="3"/>
      <c r="AD34" s="6">
        <f>MEV[[#This Row],[TOW02.1]]*CONTRATTO!$D$71+MEV[[#This Row],[TOW02.2]]*CONTRATTO!$D$72+MEV[[#This Row],[TOW02.3]]*CONTRATTO!$D$73+MEV[[#This Row],[TOW02.4]]*CONTRATTO!$D$74+MEV[[#This Row],[TOW02.5]]+MEV[[#This Row],[TOW02.6]]*CONTRATTO!$D$76</f>
        <v>6014.357</v>
      </c>
      <c r="AE34" s="6">
        <f>SUMIF(ORDINI[MEV],MEV[[#This Row],[X ORDINE]],ORDINI[Valore Posizione])</f>
        <v>0</v>
      </c>
      <c r="AF34" s="6">
        <f>SUMIF(ORDINI[MEV],MEV[[#This Row],[X ORDINE]],ORDINI[Totale Fatturato])</f>
        <v>0</v>
      </c>
      <c r="AG34" s="6">
        <f>MEV[[#This Row],[Ordinato (BdO)]]-MEV[[#This Row],[Fatturato]]</f>
        <v>0</v>
      </c>
      <c r="AH34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"&amp;E34&amp;".xlsx","")</f>
        <v/>
      </c>
    </row>
    <row r="35" spans="1:34" s="267" customFormat="1" ht="16.25" customHeight="1" x14ac:dyDescent="0.2">
      <c r="A35" s="3">
        <f t="shared" si="0"/>
        <v>33</v>
      </c>
      <c r="B35" s="3" t="s">
        <v>935</v>
      </c>
      <c r="C35" s="266" t="s">
        <v>61</v>
      </c>
      <c r="D35" s="3" t="str">
        <f>CONCATENATE(MEV[[#This Row],[GoTo]],"_",MEV[[#This Row],[Applicativo]])</f>
        <v>PRESIDIO_01_Presidio</v>
      </c>
      <c r="E35" s="8" t="s">
        <v>934</v>
      </c>
      <c r="F35" s="267" t="s">
        <v>162</v>
      </c>
      <c r="H35" s="3">
        <v>2026</v>
      </c>
      <c r="I35" s="3" t="s">
        <v>129</v>
      </c>
      <c r="J35" s="3" t="s">
        <v>288</v>
      </c>
      <c r="K35" s="3"/>
      <c r="L35" s="268" t="s">
        <v>25</v>
      </c>
      <c r="M35" s="6">
        <v>38658</v>
      </c>
      <c r="N35" s="6" t="s">
        <v>623</v>
      </c>
      <c r="O35" s="6">
        <f>IF(MEV[[#This Row],[Importo Fornitura]]&gt;0,MEV[[#This Row],[Importo Fornitura]]-(MEV[[#This Row],[Importo Fornitura]]*VLOOKUP(MEV[[#This Row],[Tipo Contratto]],CONTRATTO!$B$4:$F$15,5,FALSE)),"")</f>
        <v>38658</v>
      </c>
      <c r="P35" s="269"/>
      <c r="Q35" s="269"/>
      <c r="R35" s="269"/>
      <c r="S35" s="269"/>
      <c r="T35" s="3"/>
      <c r="U35" s="267">
        <f>VLOOKUP(MEV[[#This Row],[X ORDINE]],ORDINI!$A$2:$I$26,2,FALSE)</f>
        <v>4100689952</v>
      </c>
      <c r="V35" s="270" t="str">
        <f>VLOOKUP(MEV[[#This Row],[BC]],CONTRATTO!$B$20:$C$60,2,FALSE)</f>
        <v>BASE</v>
      </c>
      <c r="W35" s="3" t="str">
        <f>VLOOKUP(MEV[[#This Row],[BC]],CONTRATTO!$B$20:$E$60,4,FALSE)</f>
        <v>2026_1342</v>
      </c>
      <c r="X35" s="495"/>
      <c r="Y35" s="495"/>
      <c r="Z35" s="495"/>
      <c r="AA35" s="495"/>
      <c r="AB35" s="496"/>
      <c r="AC35" s="3">
        <v>6</v>
      </c>
      <c r="AD35" s="6">
        <f>MEV[[#This Row],[TOW02.1]]*CONTRATTO!$D$71+MEV[[#This Row],[TOW02.2]]*CONTRATTO!$D$72+MEV[[#This Row],[TOW02.3]]*CONTRATTO!$D$73+MEV[[#This Row],[TOW02.4]]*CONTRATTO!$D$74+MEV[[#This Row],[TOW02.5]]+MEV[[#This Row],[TOW02.6]]*CONTRATTO!$D$76</f>
        <v>38658</v>
      </c>
      <c r="AE35" s="6">
        <f>SUMIF(ORDINI[MEV],MEV[[#This Row],[X ORDINE]],ORDINI[Valore Posizione])</f>
        <v>38658</v>
      </c>
      <c r="AF35" s="6">
        <f>SUMIF(ORDINI[MEV],MEV[[#This Row],[X ORDINE]],ORDINI[Totale Fatturato])</f>
        <v>19329</v>
      </c>
      <c r="AG35" s="6">
        <f>MEV[[#This Row],[Ordinato (BdO)]]-MEV[[#This Row],[Fatturato]]</f>
        <v>19329</v>
      </c>
      <c r="AH35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"&amp;E35&amp;".xlsx","")</f>
        <v>https://capgemini.sharepoint.com/:f:/r/sites/LOGISTICA-GOVERNANCE2/Shared%20Documents/General/GARA%202025/ECONOMICS/TabelleOfferte/R.26.05/Tabella Offerta - PRESIDIO_01_Presidio - Gen-Giu 2026.xlsx</v>
      </c>
    </row>
    <row r="36" spans="1:34" s="267" customFormat="1" ht="16.25" customHeight="1" x14ac:dyDescent="0.2">
      <c r="A36" s="3">
        <f t="shared" si="0"/>
        <v>34</v>
      </c>
      <c r="B36" s="3" t="s">
        <v>753</v>
      </c>
      <c r="C36" s="266" t="s">
        <v>957</v>
      </c>
      <c r="D36" s="3" t="str">
        <f>CONCATENATE(MEV[[#This Row],[GoTo]],"_",MEV[[#This Row],[Applicativo]])</f>
        <v>TBD_SAP LES</v>
      </c>
      <c r="E36" s="8" t="s">
        <v>958</v>
      </c>
      <c r="F36" s="267" t="s">
        <v>55</v>
      </c>
      <c r="G36" s="267" t="s">
        <v>34</v>
      </c>
      <c r="H36" s="3">
        <v>2026</v>
      </c>
      <c r="I36" s="3" t="s">
        <v>134</v>
      </c>
      <c r="J36" s="3"/>
      <c r="K36" s="3"/>
      <c r="L36" s="268" t="s">
        <v>66</v>
      </c>
      <c r="M36" s="507">
        <v>3231.51</v>
      </c>
      <c r="N36" s="6" t="s">
        <v>623</v>
      </c>
      <c r="O36" s="6">
        <f>IF(MEV[[#This Row],[Importo Fornitura]]&gt;0,MEV[[#This Row],[Importo Fornitura]]-(MEV[[#This Row],[Importo Fornitura]]*VLOOKUP(MEV[[#This Row],[Tipo Contratto]],CONTRATTO!$B$4:$F$15,5,FALSE)),"")</f>
        <v>3231.51</v>
      </c>
      <c r="P36" s="269" t="s">
        <v>1067</v>
      </c>
      <c r="Q36" s="269"/>
      <c r="R36" s="269"/>
      <c r="S36" s="269"/>
      <c r="T36" s="3"/>
      <c r="U36" s="267" t="e">
        <f>VLOOKUP(MEV[[#This Row],[X ORDINE]],ORDINI!$A$2:$I$26,2,FALSE)</f>
        <v>#N/A</v>
      </c>
      <c r="V36" s="270" t="e">
        <f>VLOOKUP(MEV[[#This Row],[BC]],CONTRATTO!$B$20:$C$60,2,FALSE)</f>
        <v>#N/A</v>
      </c>
      <c r="W36" s="3" t="e">
        <f>VLOOKUP(MEV[[#This Row],[BC]],CONTRATTO!$B$20:$E$60,4,FALSE)</f>
        <v>#N/A</v>
      </c>
      <c r="X36" s="271">
        <v>0.14400000000000002</v>
      </c>
      <c r="Y36" s="271">
        <v>0</v>
      </c>
      <c r="Z36" s="271">
        <v>0.30000000000000004</v>
      </c>
      <c r="AA36" s="271">
        <v>0.15000000000000002</v>
      </c>
      <c r="AB36" s="404">
        <v>1584.9999999999998</v>
      </c>
      <c r="AC36" s="3"/>
      <c r="AD36" s="6">
        <f>MEV[[#This Row],[TOW02.1]]*CONTRATTO!$D$71+MEV[[#This Row],[TOW02.2]]*CONTRATTO!$D$72+MEV[[#This Row],[TOW02.3]]*CONTRATTO!$D$73+MEV[[#This Row],[TOW02.4]]*CONTRATTO!$D$74+MEV[[#This Row],[TOW02.5]]+MEV[[#This Row],[TOW02.6]]*CONTRATTO!$D$76</f>
        <v>3231.5079999999998</v>
      </c>
      <c r="AE36" s="6">
        <f>SUMIF(ORDINI[MEV],MEV[[#This Row],[X ORDINE]],ORDINI[Valore Posizione])</f>
        <v>0</v>
      </c>
      <c r="AF36" s="6">
        <f>SUMIF(ORDINI[MEV],MEV[[#This Row],[X ORDINE]],ORDINI[Totale Fatturato])</f>
        <v>0</v>
      </c>
      <c r="AG36" s="6">
        <f>MEV[[#This Row],[Ordinato (BdO)]]-MEV[[#This Row],[Fatturato]]</f>
        <v>0</v>
      </c>
      <c r="AH36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"&amp;E36&amp;".xlsx","")</f>
        <v/>
      </c>
    </row>
    <row r="37" spans="1:34" s="267" customFormat="1" ht="16.25" customHeight="1" x14ac:dyDescent="0.2">
      <c r="A37" s="3">
        <f t="shared" si="0"/>
        <v>35</v>
      </c>
      <c r="B37" s="3" t="s">
        <v>753</v>
      </c>
      <c r="C37" s="266" t="s">
        <v>36</v>
      </c>
      <c r="D37" s="3" t="str">
        <f>CONCATENATE(MEV[[#This Row],[GoTo]],"_",MEV[[#This Row],[Applicativo]])</f>
        <v>TBD_BEP</v>
      </c>
      <c r="E37" s="8" t="s">
        <v>963</v>
      </c>
      <c r="F37" s="267" t="s">
        <v>35</v>
      </c>
      <c r="G37" s="267" t="s">
        <v>24</v>
      </c>
      <c r="H37" s="3">
        <v>2026</v>
      </c>
      <c r="I37" s="3" t="s">
        <v>134</v>
      </c>
      <c r="J37" s="3" t="s">
        <v>288</v>
      </c>
      <c r="K37" s="3"/>
      <c r="L37" s="268" t="s">
        <v>25</v>
      </c>
      <c r="M37" s="507">
        <v>14772.12</v>
      </c>
      <c r="N37" s="6" t="s">
        <v>623</v>
      </c>
      <c r="O37" s="6">
        <f>IF(MEV[[#This Row],[Importo Fornitura]]&gt;0,MEV[[#This Row],[Importo Fornitura]]-(MEV[[#This Row],[Importo Fornitura]]*VLOOKUP(MEV[[#This Row],[Tipo Contratto]],CONTRATTO!$B$4:$F$15,5,FALSE)),"")</f>
        <v>14772.12</v>
      </c>
      <c r="P37" s="269" t="s">
        <v>1063</v>
      </c>
      <c r="Q37" s="269"/>
      <c r="R37" s="269"/>
      <c r="S37" s="269"/>
      <c r="T37" s="3"/>
      <c r="U37" s="267" t="e">
        <f>VLOOKUP(MEV[[#This Row],[X ORDINE]],ORDINI!$A$2:$I$26,2,FALSE)</f>
        <v>#N/A</v>
      </c>
      <c r="V37" s="270" t="e">
        <f>VLOOKUP(MEV[[#This Row],[BC]],CONTRATTO!$B$20:$C$60,2,FALSE)</f>
        <v>#N/A</v>
      </c>
      <c r="W37" s="3" t="e">
        <f>VLOOKUP(MEV[[#This Row],[BC]],CONTRATTO!$B$20:$E$60,4,FALSE)</f>
        <v>#N/A</v>
      </c>
      <c r="X37" s="271">
        <v>0.65599999999999992</v>
      </c>
      <c r="Y37" s="271">
        <v>0</v>
      </c>
      <c r="Z37" s="271">
        <v>0.60799999999999998</v>
      </c>
      <c r="AA37" s="271">
        <v>0.73799999999999999</v>
      </c>
      <c r="AB37" s="404">
        <v>9600</v>
      </c>
      <c r="AC37" s="3"/>
      <c r="AD37" s="6">
        <f>MEV[[#This Row],[TOW02.1]]*CONTRATTO!$D$71+MEV[[#This Row],[TOW02.2]]*CONTRATTO!$D$72+MEV[[#This Row],[TOW02.3]]*CONTRATTO!$D$73+MEV[[#This Row],[TOW02.4]]*CONTRATTO!$D$74+MEV[[#This Row],[TOW02.5]]+MEV[[#This Row],[TOW02.6]]*CONTRATTO!$D$76</f>
        <v>14772.115999999998</v>
      </c>
      <c r="AE37" s="6">
        <f>SUMIF(ORDINI[MEV],MEV[[#This Row],[X ORDINE]],ORDINI[Valore Posizione])</f>
        <v>0</v>
      </c>
      <c r="AF37" s="6">
        <f>SUMIF(ORDINI[MEV],MEV[[#This Row],[X ORDINE]],ORDINI[Totale Fatturato])</f>
        <v>0</v>
      </c>
      <c r="AG37" s="6">
        <f>MEV[[#This Row],[Ordinato (BdO)]]-MEV[[#This Row],[Fatturato]]</f>
        <v>0</v>
      </c>
      <c r="AH37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"&amp;E37&amp;".xlsx","")</f>
        <v>https://capgemini.sharepoint.com/:f:/r/sites/LOGISTICA-GOVERNANCE2/Shared%20Documents/General/GARA%202025/ECONOMICS/TabelleOfferte/R.26.07/Tabella Offerta - TBD_BEP - Migrazione a github x BEP.xlsx</v>
      </c>
    </row>
    <row r="38" spans="1:34" s="267" customFormat="1" ht="16.25" customHeight="1" x14ac:dyDescent="0.2">
      <c r="A38" s="3">
        <f t="shared" si="0"/>
        <v>36</v>
      </c>
      <c r="B38" s="3" t="s">
        <v>753</v>
      </c>
      <c r="C38" s="266" t="s">
        <v>36</v>
      </c>
      <c r="D38" s="3" t="str">
        <f>CONCATENATE(MEV[[#This Row],[GoTo]],"_",MEV[[#This Row],[Applicativo]])</f>
        <v>TBD_BEP</v>
      </c>
      <c r="E38" s="8" t="s">
        <v>964</v>
      </c>
      <c r="F38" s="267" t="s">
        <v>35</v>
      </c>
      <c r="G38" s="267" t="s">
        <v>24</v>
      </c>
      <c r="H38" s="3">
        <v>2026</v>
      </c>
      <c r="I38" s="3" t="s">
        <v>134</v>
      </c>
      <c r="J38" s="3" t="s">
        <v>288</v>
      </c>
      <c r="K38" s="3"/>
      <c r="L38" s="268" t="s">
        <v>25</v>
      </c>
      <c r="M38" s="507">
        <v>3283.03</v>
      </c>
      <c r="N38" s="6" t="s">
        <v>623</v>
      </c>
      <c r="O38" s="6">
        <f>IF(MEV[[#This Row],[Importo Fornitura]]&gt;0,MEV[[#This Row],[Importo Fornitura]]-(MEV[[#This Row],[Importo Fornitura]]*VLOOKUP(MEV[[#This Row],[Tipo Contratto]],CONTRATTO!$B$4:$F$15,5,FALSE)),"")</f>
        <v>3283.03</v>
      </c>
      <c r="P38" s="269" t="s">
        <v>1063</v>
      </c>
      <c r="Q38" s="269"/>
      <c r="R38" s="269"/>
      <c r="S38" s="269"/>
      <c r="T38" s="3"/>
      <c r="U38" s="267" t="e">
        <f>VLOOKUP(MEV[[#This Row],[X ORDINE]],ORDINI!$A$2:$I$26,2,FALSE)</f>
        <v>#N/A</v>
      </c>
      <c r="V38" s="270" t="e">
        <f>VLOOKUP(MEV[[#This Row],[BC]],CONTRATTO!$B$20:$C$60,2,FALSE)</f>
        <v>#N/A</v>
      </c>
      <c r="W38" s="3" t="e">
        <f>VLOOKUP(MEV[[#This Row],[BC]],CONTRATTO!$B$20:$E$60,4,FALSE)</f>
        <v>#N/A</v>
      </c>
      <c r="X38" s="271">
        <v>0.56600000000000006</v>
      </c>
      <c r="Y38" s="271">
        <v>0</v>
      </c>
      <c r="Z38" s="271">
        <v>6.0999999999999999E-2</v>
      </c>
      <c r="AA38" s="271">
        <v>7.3999999999999996E-2</v>
      </c>
      <c r="AB38" s="404">
        <v>960</v>
      </c>
      <c r="AC38" s="3"/>
      <c r="AD38" s="6">
        <f>MEV[[#This Row],[TOW02.1]]*CONTRATTO!$D$71+MEV[[#This Row],[TOW02.2]]*CONTRATTO!$D$72+MEV[[#This Row],[TOW02.3]]*CONTRATTO!$D$73+MEV[[#This Row],[TOW02.4]]*CONTRATTO!$D$74+MEV[[#This Row],[TOW02.5]]+MEV[[#This Row],[TOW02.6]]*CONTRATTO!$D$76</f>
        <v>3283.0259999999998</v>
      </c>
      <c r="AE38" s="6">
        <f>SUMIF(ORDINI[MEV],MEV[[#This Row],[X ORDINE]],ORDINI[Valore Posizione])</f>
        <v>0</v>
      </c>
      <c r="AF38" s="6">
        <f>SUMIF(ORDINI[MEV],MEV[[#This Row],[X ORDINE]],ORDINI[Totale Fatturato])</f>
        <v>0</v>
      </c>
      <c r="AG38" s="6">
        <f>MEV[[#This Row],[Ordinato (BdO)]]-MEV[[#This Row],[Fatturato]]</f>
        <v>0</v>
      </c>
      <c r="AH38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"&amp;E38&amp;".xlsx","")</f>
        <v>https://capgemini.sharepoint.com/:f:/r/sites/LOGISTICA-GOVERNANCE2/Shared%20Documents/General/GARA%202025/ECONOMICS/TabelleOfferte/R.26.07/Tabella Offerta - TBD_BEP - Adeguamenti EURODIS x Cipro Grecia.xlsx</v>
      </c>
    </row>
    <row r="39" spans="1:34" s="267" customFormat="1" ht="16.25" customHeight="1" x14ac:dyDescent="0.2">
      <c r="A39" s="3">
        <f t="shared" si="0"/>
        <v>37</v>
      </c>
      <c r="B39" s="3" t="s">
        <v>753</v>
      </c>
      <c r="C39" s="266" t="s">
        <v>36</v>
      </c>
      <c r="D39" s="3" t="str">
        <f>CONCATENATE(MEV[[#This Row],[GoTo]],"_",MEV[[#This Row],[Applicativo]])</f>
        <v>TBD_BEP</v>
      </c>
      <c r="E39" s="8" t="s">
        <v>965</v>
      </c>
      <c r="F39" s="267" t="s">
        <v>35</v>
      </c>
      <c r="G39" s="267" t="s">
        <v>24</v>
      </c>
      <c r="H39" s="3">
        <v>2026</v>
      </c>
      <c r="I39" s="3" t="s">
        <v>134</v>
      </c>
      <c r="J39" s="3" t="s">
        <v>288</v>
      </c>
      <c r="K39" s="3"/>
      <c r="L39" s="268" t="s">
        <v>25</v>
      </c>
      <c r="M39" s="507">
        <v>3652.12</v>
      </c>
      <c r="N39" s="6" t="s">
        <v>623</v>
      </c>
      <c r="O39" s="6">
        <f>IF(MEV[[#This Row],[Importo Fornitura]]&gt;0,MEV[[#This Row],[Importo Fornitura]]-(MEV[[#This Row],[Importo Fornitura]]*VLOOKUP(MEV[[#This Row],[Tipo Contratto]],CONTRATTO!$B$4:$F$15,5,FALSE)),"")</f>
        <v>3652.12</v>
      </c>
      <c r="P39" s="269" t="s">
        <v>1063</v>
      </c>
      <c r="Q39" s="269"/>
      <c r="R39" s="269"/>
      <c r="S39" s="269"/>
      <c r="T39" s="3"/>
      <c r="U39" s="267" t="e">
        <f>VLOOKUP(MEV[[#This Row],[X ORDINE]],ORDINI!$A$2:$I$26,2,FALSE)</f>
        <v>#N/A</v>
      </c>
      <c r="V39" s="270" t="e">
        <f>VLOOKUP(MEV[[#This Row],[BC]],CONTRATTO!$B$20:$C$60,2,FALSE)</f>
        <v>#N/A</v>
      </c>
      <c r="W39" s="3" t="e">
        <f>VLOOKUP(MEV[[#This Row],[BC]],CONTRATTO!$B$20:$E$60,4,FALSE)</f>
        <v>#N/A</v>
      </c>
      <c r="X39" s="271">
        <v>0.58199999999999996</v>
      </c>
      <c r="Y39" s="271">
        <v>0</v>
      </c>
      <c r="Z39" s="271">
        <v>7.5999999999999998E-2</v>
      </c>
      <c r="AA39" s="271">
        <v>9.4E-2</v>
      </c>
      <c r="AB39" s="404">
        <v>1200</v>
      </c>
      <c r="AC39" s="3"/>
      <c r="AD39" s="6">
        <f>MEV[[#This Row],[TOW02.1]]*CONTRATTO!$D$71+MEV[[#This Row],[TOW02.2]]*CONTRATTO!$D$72+MEV[[#This Row],[TOW02.3]]*CONTRATTO!$D$73+MEV[[#This Row],[TOW02.4]]*CONTRATTO!$D$74+MEV[[#This Row],[TOW02.5]]+MEV[[#This Row],[TOW02.6]]*CONTRATTO!$D$76</f>
        <v>3652.1179999999999</v>
      </c>
      <c r="AE39" s="6">
        <f>SUMIF(ORDINI[MEV],MEV[[#This Row],[X ORDINE]],ORDINI[Valore Posizione])</f>
        <v>0</v>
      </c>
      <c r="AF39" s="6">
        <f>SUMIF(ORDINI[MEV],MEV[[#This Row],[X ORDINE]],ORDINI[Totale Fatturato])</f>
        <v>0</v>
      </c>
      <c r="AG39" s="6">
        <f>MEV[[#This Row],[Ordinato (BdO)]]-MEV[[#This Row],[Fatturato]]</f>
        <v>0</v>
      </c>
      <c r="AH39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"&amp;E39&amp;".xlsx","")</f>
        <v>https://capgemini.sharepoint.com/:f:/r/sites/LOGISTICA-GOVERNANCE2/Shared%20Documents/General/GARA%202025/ECONOMICS/TabelleOfferte/R.26.07/Tabella Offerta - TBD_BEP - datamatrix content.xlsx</v>
      </c>
    </row>
    <row r="40" spans="1:34" s="267" customFormat="1" ht="16.25" customHeight="1" x14ac:dyDescent="0.2">
      <c r="A40" s="3">
        <f t="shared" si="0"/>
        <v>38</v>
      </c>
      <c r="B40" s="3" t="s">
        <v>753</v>
      </c>
      <c r="C40" s="266" t="s">
        <v>36</v>
      </c>
      <c r="D40" s="3" t="str">
        <f>CONCATENATE(MEV[[#This Row],[GoTo]],"_",MEV[[#This Row],[Applicativo]])</f>
        <v>TBD_BEP</v>
      </c>
      <c r="E40" s="8" t="s">
        <v>966</v>
      </c>
      <c r="F40" s="267" t="s">
        <v>35</v>
      </c>
      <c r="G40" s="267" t="s">
        <v>24</v>
      </c>
      <c r="H40" s="3">
        <v>2026</v>
      </c>
      <c r="I40" s="3" t="s">
        <v>134</v>
      </c>
      <c r="J40" s="3" t="s">
        <v>288</v>
      </c>
      <c r="K40" s="3"/>
      <c r="L40" s="268" t="s">
        <v>25</v>
      </c>
      <c r="M40" s="507">
        <v>3652.12</v>
      </c>
      <c r="N40" s="6" t="s">
        <v>623</v>
      </c>
      <c r="O40" s="6">
        <f>IF(MEV[[#This Row],[Importo Fornitura]]&gt;0,MEV[[#This Row],[Importo Fornitura]]-(MEV[[#This Row],[Importo Fornitura]]*VLOOKUP(MEV[[#This Row],[Tipo Contratto]],CONTRATTO!$B$4:$F$15,5,FALSE)),"")</f>
        <v>3652.12</v>
      </c>
      <c r="P40" s="269" t="s">
        <v>1063</v>
      </c>
      <c r="Q40" s="269"/>
      <c r="R40" s="269"/>
      <c r="S40" s="269"/>
      <c r="T40" s="3"/>
      <c r="U40" s="267" t="e">
        <f>VLOOKUP(MEV[[#This Row],[X ORDINE]],ORDINI!$A$2:$I$26,2,FALSE)</f>
        <v>#N/A</v>
      </c>
      <c r="V40" s="270" t="e">
        <f>VLOOKUP(MEV[[#This Row],[BC]],CONTRATTO!$B$20:$C$60,2,FALSE)</f>
        <v>#N/A</v>
      </c>
      <c r="W40" s="3" t="e">
        <f>VLOOKUP(MEV[[#This Row],[BC]],CONTRATTO!$B$20:$E$60,4,FALSE)</f>
        <v>#N/A</v>
      </c>
      <c r="X40" s="271">
        <v>0.58199999999999996</v>
      </c>
      <c r="Y40" s="271">
        <v>0</v>
      </c>
      <c r="Z40" s="271">
        <v>7.5999999999999998E-2</v>
      </c>
      <c r="AA40" s="271">
        <v>9.4E-2</v>
      </c>
      <c r="AB40" s="404">
        <v>1200</v>
      </c>
      <c r="AC40" s="3"/>
      <c r="AD40" s="6">
        <f>MEV[[#This Row],[TOW02.1]]*CONTRATTO!$D$71+MEV[[#This Row],[TOW02.2]]*CONTRATTO!$D$72+MEV[[#This Row],[TOW02.3]]*CONTRATTO!$D$73+MEV[[#This Row],[TOW02.4]]*CONTRATTO!$D$74+MEV[[#This Row],[TOW02.5]]+MEV[[#This Row],[TOW02.6]]*CONTRATTO!$D$76</f>
        <v>3652.1179999999999</v>
      </c>
      <c r="AE40" s="6">
        <f>SUMIF(ORDINI[MEV],MEV[[#This Row],[X ORDINE]],ORDINI[Valore Posizione])</f>
        <v>0</v>
      </c>
      <c r="AF40" s="6">
        <f>SUMIF(ORDINI[MEV],MEV[[#This Row],[X ORDINE]],ORDINI[Totale Fatturato])</f>
        <v>0</v>
      </c>
      <c r="AG40" s="6">
        <f>MEV[[#This Row],[Ordinato (BdO)]]-MEV[[#This Row],[Fatturato]]</f>
        <v>0</v>
      </c>
      <c r="AH40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"&amp;E40&amp;".xlsx","")</f>
        <v>https://capgemini.sharepoint.com/:f:/r/sites/LOGISTICA-GOVERNANCE2/Shared%20Documents/General/GARA%202025/ECONOMICS/TabelleOfferte/R.26.07/Tabella Offerta - TBD_BEP - Antifrode xl-idcli5.xlsx</v>
      </c>
    </row>
    <row r="41" spans="1:34" s="267" customFormat="1" ht="16.25" customHeight="1" x14ac:dyDescent="0.2">
      <c r="A41" s="3">
        <f t="shared" si="0"/>
        <v>39</v>
      </c>
      <c r="B41" s="3">
        <v>141761</v>
      </c>
      <c r="C41" s="266" t="s">
        <v>988</v>
      </c>
      <c r="D41" s="3" t="str">
        <f>CONCATENATE(MEV[[#This Row],[GoTo]],"_",MEV[[#This Row],[Applicativo]])</f>
        <v>141761_IPER_IPERSUITE</v>
      </c>
      <c r="E41" s="8" t="s">
        <v>974</v>
      </c>
      <c r="F41" s="267" t="s">
        <v>32</v>
      </c>
      <c r="G41" s="267" t="s">
        <v>24</v>
      </c>
      <c r="H41" s="3">
        <v>2026</v>
      </c>
      <c r="I41" s="3" t="s">
        <v>983</v>
      </c>
      <c r="J41" s="3"/>
      <c r="K41" s="3"/>
      <c r="L41" s="268"/>
      <c r="M41" s="507">
        <v>130218.16</v>
      </c>
      <c r="N41" s="6" t="s">
        <v>623</v>
      </c>
      <c r="O41" s="6">
        <f>IF(MEV[[#This Row],[Importo Fornitura]]&gt;0,MEV[[#This Row],[Importo Fornitura]]-(MEV[[#This Row],[Importo Fornitura]]*VLOOKUP(MEV[[#This Row],[Tipo Contratto]],CONTRATTO!$B$4:$F$15,5,FALSE)),"")</f>
        <v>130218.16</v>
      </c>
      <c r="P41" s="269" t="s">
        <v>614</v>
      </c>
      <c r="Q41" s="269"/>
      <c r="R41" s="269"/>
      <c r="S41" s="269"/>
      <c r="T41" s="3"/>
      <c r="U41" s="267" t="e">
        <f>VLOOKUP(MEV[[#This Row],[X ORDINE]],ORDINI!$A$2:$I$26,2,FALSE)</f>
        <v>#N/A</v>
      </c>
      <c r="V41" s="270" t="e">
        <f>VLOOKUP(MEV[[#This Row],[BC]],CONTRATTO!$B$20:$C$60,2,FALSE)</f>
        <v>#N/A</v>
      </c>
      <c r="W41" s="3" t="e">
        <f>VLOOKUP(MEV[[#This Row],[BC]],CONTRATTO!$B$20:$E$60,4,FALSE)</f>
        <v>#N/A</v>
      </c>
      <c r="X41" s="271">
        <v>5.8199999999999994</v>
      </c>
      <c r="Y41" s="271">
        <v>0</v>
      </c>
      <c r="Z41" s="271">
        <v>5.4529999999999994</v>
      </c>
      <c r="AA41" s="271">
        <v>6.4740000000000002</v>
      </c>
      <c r="AB41" s="404">
        <v>84234</v>
      </c>
      <c r="AC41" s="272"/>
      <c r="AD41" s="6">
        <f>MEV[[#This Row],[TOW02.1]]*CONTRATTO!$D$71+MEV[[#This Row],[TOW02.2]]*CONTRATTO!$D$72+MEV[[#This Row],[TOW02.3]]*CONTRATTO!$D$73+MEV[[#This Row],[TOW02.4]]*CONTRATTO!$D$74+MEV[[#This Row],[TOW02.5]]+MEV[[#This Row],[TOW02.6]]*CONTRATTO!$D$76</f>
        <v>130218.15599999999</v>
      </c>
      <c r="AE41" s="6">
        <f>SUMIF(ORDINI[MEV],MEV[[#This Row],[X ORDINE]],ORDINI[Valore Posizione])</f>
        <v>0</v>
      </c>
      <c r="AF41" s="6">
        <f>SUMIF(ORDINI[MEV],MEV[[#This Row],[X ORDINE]],ORDINI[Totale Fatturato])</f>
        <v>0</v>
      </c>
      <c r="AG41" s="6">
        <f>MEV[[#This Row],[Ordinato (BdO)]]-MEV[[#This Row],[Fatturato]]</f>
        <v>0</v>
      </c>
      <c r="AH41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"&amp;E41&amp;".xlsx","")</f>
        <v/>
      </c>
    </row>
    <row r="42" spans="1:34" s="267" customFormat="1" ht="16.25" customHeight="1" x14ac:dyDescent="0.2">
      <c r="A42" s="3">
        <f t="shared" si="0"/>
        <v>40</v>
      </c>
      <c r="B42" s="3" t="s">
        <v>975</v>
      </c>
      <c r="C42" s="266" t="s">
        <v>988</v>
      </c>
      <c r="D42" s="3" t="str">
        <f>CONCATENATE(MEV[[#This Row],[GoTo]],"_",MEV[[#This Row],[Applicativo]])</f>
        <v>141761_CR_IPER_IPERSUITE</v>
      </c>
      <c r="E42" s="8" t="s">
        <v>974</v>
      </c>
      <c r="F42" s="267" t="s">
        <v>32</v>
      </c>
      <c r="G42" s="267" t="s">
        <v>24</v>
      </c>
      <c r="H42" s="3">
        <v>2026</v>
      </c>
      <c r="I42" s="3" t="s">
        <v>983</v>
      </c>
      <c r="J42" s="3"/>
      <c r="K42" s="3"/>
      <c r="L42" s="268"/>
      <c r="M42" s="507">
        <v>14712.38</v>
      </c>
      <c r="N42" s="6" t="s">
        <v>623</v>
      </c>
      <c r="O42" s="6">
        <f>IF(MEV[[#This Row],[Importo Fornitura]]&gt;0,MEV[[#This Row],[Importo Fornitura]]-(MEV[[#This Row],[Importo Fornitura]]*VLOOKUP(MEV[[#This Row],[Tipo Contratto]],CONTRATTO!$B$4:$F$15,5,FALSE)),"")</f>
        <v>14712.38</v>
      </c>
      <c r="P42" s="269" t="s">
        <v>614</v>
      </c>
      <c r="Q42" s="269"/>
      <c r="R42" s="269"/>
      <c r="S42" s="269"/>
      <c r="T42" s="3"/>
      <c r="U42" s="267" t="e">
        <f>VLOOKUP(MEV[[#This Row],[X ORDINE]],ORDINI!$A$2:$I$26,2,FALSE)</f>
        <v>#N/A</v>
      </c>
      <c r="V42" s="270" t="e">
        <f>VLOOKUP(MEV[[#This Row],[BC]],CONTRATTO!$B$20:$C$60,2,FALSE)</f>
        <v>#N/A</v>
      </c>
      <c r="W42" s="3" t="e">
        <f>VLOOKUP(MEV[[#This Row],[BC]],CONTRATTO!$B$20:$E$60,4,FALSE)</f>
        <v>#N/A</v>
      </c>
      <c r="X42" s="271">
        <v>0.65299999999999991</v>
      </c>
      <c r="Y42" s="271">
        <v>0</v>
      </c>
      <c r="Z42" s="271">
        <v>0.60599999999999998</v>
      </c>
      <c r="AA42" s="271">
        <v>0.73499999999999999</v>
      </c>
      <c r="AB42" s="404">
        <v>9561</v>
      </c>
      <c r="AC42" s="272"/>
      <c r="AD42" s="6">
        <f>MEV[[#This Row],[TOW02.1]]*CONTRATTO!$D$71+MEV[[#This Row],[TOW02.2]]*CONTRATTO!$D$72+MEV[[#This Row],[TOW02.3]]*CONTRATTO!$D$73+MEV[[#This Row],[TOW02.4]]*CONTRATTO!$D$74+MEV[[#This Row],[TOW02.5]]+MEV[[#This Row],[TOW02.6]]*CONTRATTO!$D$76</f>
        <v>14712.377</v>
      </c>
      <c r="AE42" s="6">
        <f>SUMIF(ORDINI[MEV],MEV[[#This Row],[X ORDINE]],ORDINI[Valore Posizione])</f>
        <v>0</v>
      </c>
      <c r="AF42" s="6">
        <f>SUMIF(ORDINI[MEV],MEV[[#This Row],[X ORDINE]],ORDINI[Totale Fatturato])</f>
        <v>0</v>
      </c>
      <c r="AG42" s="6">
        <f>MEV[[#This Row],[Ordinato (BdO)]]-MEV[[#This Row],[Fatturato]]</f>
        <v>0</v>
      </c>
      <c r="AH42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"&amp;E42&amp;".xlsx","")</f>
        <v/>
      </c>
    </row>
    <row r="43" spans="1:34" s="267" customFormat="1" ht="16.25" customHeight="1" x14ac:dyDescent="0.2">
      <c r="A43" s="3">
        <f t="shared" si="0"/>
        <v>41</v>
      </c>
      <c r="B43" s="3">
        <v>141761</v>
      </c>
      <c r="C43" s="266" t="s">
        <v>36</v>
      </c>
      <c r="D43" s="3" t="str">
        <f>CONCATENATE(MEV[[#This Row],[GoTo]],"_",MEV[[#This Row],[Applicativo]])</f>
        <v>141761_BEP</v>
      </c>
      <c r="E43" s="8" t="s">
        <v>974</v>
      </c>
      <c r="F43" s="267" t="s">
        <v>35</v>
      </c>
      <c r="G43" s="267" t="s">
        <v>24</v>
      </c>
      <c r="H43" s="3">
        <v>2026</v>
      </c>
      <c r="I43" s="3" t="s">
        <v>983</v>
      </c>
      <c r="J43" s="3"/>
      <c r="K43" s="3"/>
      <c r="L43" s="268"/>
      <c r="M43" s="507">
        <v>13662.43</v>
      </c>
      <c r="N43" s="6" t="s">
        <v>623</v>
      </c>
      <c r="O43" s="6">
        <f>IF(MEV[[#This Row],[Importo Fornitura]]&gt;0,MEV[[#This Row],[Importo Fornitura]]-(MEV[[#This Row],[Importo Fornitura]]*VLOOKUP(MEV[[#This Row],[Tipo Contratto]],CONTRATTO!$B$4:$F$15,5,FALSE)),"")</f>
        <v>13662.43</v>
      </c>
      <c r="P43" s="269" t="s">
        <v>614</v>
      </c>
      <c r="Q43" s="269"/>
      <c r="R43" s="269"/>
      <c r="S43" s="269"/>
      <c r="T43" s="3"/>
      <c r="U43" s="267" t="e">
        <f>VLOOKUP(MEV[[#This Row],[X ORDINE]],ORDINI!$A$2:$I$26,2,FALSE)</f>
        <v>#N/A</v>
      </c>
      <c r="V43" s="270" t="e">
        <f>VLOOKUP(MEV[[#This Row],[BC]],CONTRATTO!$B$20:$C$60,2,FALSE)</f>
        <v>#N/A</v>
      </c>
      <c r="W43" s="3" t="e">
        <f>VLOOKUP(MEV[[#This Row],[BC]],CONTRATTO!$B$20:$E$60,4,FALSE)</f>
        <v>#N/A</v>
      </c>
      <c r="X43" s="271">
        <v>0.60599999999999998</v>
      </c>
      <c r="Y43" s="271">
        <v>0</v>
      </c>
      <c r="Z43" s="271">
        <v>0.56300000000000006</v>
      </c>
      <c r="AA43" s="271">
        <v>0.68200000000000005</v>
      </c>
      <c r="AB43" s="404">
        <v>8880</v>
      </c>
      <c r="AC43" s="272"/>
      <c r="AD43" s="6">
        <f>MEV[[#This Row],[TOW02.1]]*CONTRATTO!$D$71+MEV[[#This Row],[TOW02.2]]*CONTRATTO!$D$72+MEV[[#This Row],[TOW02.3]]*CONTRATTO!$D$73+MEV[[#This Row],[TOW02.4]]*CONTRATTO!$D$74+MEV[[#This Row],[TOW02.5]]+MEV[[#This Row],[TOW02.6]]*CONTRATTO!$D$76</f>
        <v>13662.434000000001</v>
      </c>
      <c r="AE43" s="6">
        <f>SUMIF(ORDINI[MEV],MEV[[#This Row],[X ORDINE]],ORDINI[Valore Posizione])</f>
        <v>0</v>
      </c>
      <c r="AF43" s="6">
        <f>SUMIF(ORDINI[MEV],MEV[[#This Row],[X ORDINE]],ORDINI[Totale Fatturato])</f>
        <v>0</v>
      </c>
      <c r="AG43" s="6">
        <f>MEV[[#This Row],[Ordinato (BdO)]]-MEV[[#This Row],[Fatturato]]</f>
        <v>0</v>
      </c>
      <c r="AH43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"&amp;E43&amp;".xlsx","")</f>
        <v/>
      </c>
    </row>
    <row r="44" spans="1:34" s="267" customFormat="1" ht="16.25" customHeight="1" x14ac:dyDescent="0.2">
      <c r="A44" s="3">
        <f t="shared" si="0"/>
        <v>42</v>
      </c>
      <c r="B44" s="3">
        <v>141761</v>
      </c>
      <c r="C44" s="266" t="s">
        <v>72</v>
      </c>
      <c r="D44" s="3" t="str">
        <f>CONCATENATE(MEV[[#This Row],[GoTo]],"_",MEV[[#This Row],[Applicativo]])</f>
        <v>141761_SAP EM / Mediation</v>
      </c>
      <c r="E44" s="8" t="s">
        <v>974</v>
      </c>
      <c r="F44" s="267" t="s">
        <v>58</v>
      </c>
      <c r="G44" s="267" t="s">
        <v>34</v>
      </c>
      <c r="H44" s="3">
        <v>2026</v>
      </c>
      <c r="I44" s="3" t="s">
        <v>983</v>
      </c>
      <c r="J44" s="3"/>
      <c r="K44" s="3"/>
      <c r="L44" s="268"/>
      <c r="M44" s="507">
        <v>29998.83</v>
      </c>
      <c r="N44" s="6" t="s">
        <v>623</v>
      </c>
      <c r="O44" s="6">
        <f>IF(MEV[[#This Row],[Importo Fornitura]]&gt;0,MEV[[#This Row],[Importo Fornitura]]-(MEV[[#This Row],[Importo Fornitura]]*VLOOKUP(MEV[[#This Row],[Tipo Contratto]],CONTRATTO!$B$4:$F$15,5,FALSE)),"")</f>
        <v>29998.83</v>
      </c>
      <c r="P44" s="269" t="s">
        <v>614</v>
      </c>
      <c r="Q44" s="269"/>
      <c r="R44" s="269"/>
      <c r="S44" s="269"/>
      <c r="T44" s="3"/>
      <c r="U44" s="267" t="e">
        <f>VLOOKUP(MEV[[#This Row],[X ORDINE]],ORDINI!$A$2:$I$26,2,FALSE)</f>
        <v>#N/A</v>
      </c>
      <c r="V44" s="270" t="e">
        <f>VLOOKUP(MEV[[#This Row],[BC]],CONTRATTO!$B$20:$C$60,2,FALSE)</f>
        <v>#N/A</v>
      </c>
      <c r="W44" s="3" t="e">
        <f>VLOOKUP(MEV[[#This Row],[BC]],CONTRATTO!$B$20:$E$60,4,FALSE)</f>
        <v>#N/A</v>
      </c>
      <c r="X44" s="271">
        <v>1.2330000000000001</v>
      </c>
      <c r="Y44" s="271">
        <v>0</v>
      </c>
      <c r="Z44" s="271">
        <v>1.1000000000000001</v>
      </c>
      <c r="AA44" s="271">
        <v>1.4</v>
      </c>
      <c r="AB44" s="404">
        <v>20397</v>
      </c>
      <c r="AC44" s="272"/>
      <c r="AD44" s="6">
        <f>MEV[[#This Row],[TOW02.1]]*CONTRATTO!$D$71+MEV[[#This Row],[TOW02.2]]*CONTRATTO!$D$72+MEV[[#This Row],[TOW02.3]]*CONTRATTO!$D$73+MEV[[#This Row],[TOW02.4]]*CONTRATTO!$D$74+MEV[[#This Row],[TOW02.5]]+MEV[[#This Row],[TOW02.6]]*CONTRATTO!$D$76</f>
        <v>29998.830999999998</v>
      </c>
      <c r="AE44" s="6">
        <f>SUMIF(ORDINI[MEV],MEV[[#This Row],[X ORDINE]],ORDINI[Valore Posizione])</f>
        <v>0</v>
      </c>
      <c r="AF44" s="6">
        <f>SUMIF(ORDINI[MEV],MEV[[#This Row],[X ORDINE]],ORDINI[Totale Fatturato])</f>
        <v>0</v>
      </c>
      <c r="AG44" s="6">
        <f>MEV[[#This Row],[Ordinato (BdO)]]-MEV[[#This Row],[Fatturato]]</f>
        <v>0</v>
      </c>
      <c r="AH44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"&amp;E44&amp;".xlsx","")</f>
        <v/>
      </c>
    </row>
    <row r="45" spans="1:34" s="267" customFormat="1" ht="16.25" customHeight="1" x14ac:dyDescent="0.2">
      <c r="A45" s="3">
        <f t="shared" si="0"/>
        <v>43</v>
      </c>
      <c r="B45" s="3">
        <v>138512</v>
      </c>
      <c r="C45" s="266" t="s">
        <v>41</v>
      </c>
      <c r="D45" s="3" t="str">
        <f>CONCATENATE(MEV[[#This Row],[GoTo]],"_",MEV[[#This Row],[Applicativo]])</f>
        <v>138512_NODO</v>
      </c>
      <c r="E45" s="8" t="s">
        <v>976</v>
      </c>
      <c r="F45" s="267" t="s">
        <v>28</v>
      </c>
      <c r="G45" s="267" t="s">
        <v>29</v>
      </c>
      <c r="H45" s="3">
        <v>2026</v>
      </c>
      <c r="I45" s="3" t="s">
        <v>983</v>
      </c>
      <c r="J45" s="3"/>
      <c r="K45" s="3"/>
      <c r="L45" s="268"/>
      <c r="M45" s="507">
        <v>29999.84</v>
      </c>
      <c r="N45" s="6" t="s">
        <v>623</v>
      </c>
      <c r="O45" s="6">
        <f>IF(MEV[[#This Row],[Importo Fornitura]]&gt;0,MEV[[#This Row],[Importo Fornitura]]-(MEV[[#This Row],[Importo Fornitura]]*VLOOKUP(MEV[[#This Row],[Tipo Contratto]],CONTRATTO!$B$4:$F$15,5,FALSE)),"")</f>
        <v>29999.84</v>
      </c>
      <c r="P45" s="269" t="s">
        <v>614</v>
      </c>
      <c r="Q45" s="269"/>
      <c r="R45" s="269"/>
      <c r="S45" s="269"/>
      <c r="T45" s="3"/>
      <c r="U45" s="267" t="e">
        <f>VLOOKUP(MEV[[#This Row],[X ORDINE]],ORDINI!$A$2:$I$26,2,FALSE)</f>
        <v>#N/A</v>
      </c>
      <c r="V45" s="270" t="e">
        <f>VLOOKUP(MEV[[#This Row],[BC]],CONTRATTO!$B$20:$C$60,2,FALSE)</f>
        <v>#N/A</v>
      </c>
      <c r="W45" s="3" t="e">
        <f>VLOOKUP(MEV[[#This Row],[BC]],CONTRATTO!$B$20:$E$60,4,FALSE)</f>
        <v>#N/A</v>
      </c>
      <c r="X45" s="271">
        <v>1.35</v>
      </c>
      <c r="Y45" s="271">
        <v>0</v>
      </c>
      <c r="Z45" s="271">
        <v>1.28</v>
      </c>
      <c r="AA45" s="271">
        <v>1.5529999999999999</v>
      </c>
      <c r="AB45" s="404">
        <v>19224</v>
      </c>
      <c r="AC45" s="272"/>
      <c r="AD45" s="6">
        <f>MEV[[#This Row],[TOW02.1]]*CONTRATTO!$D$71+MEV[[#This Row],[TOW02.2]]*CONTRATTO!$D$72+MEV[[#This Row],[TOW02.3]]*CONTRATTO!$D$73+MEV[[#This Row],[TOW02.4]]*CONTRATTO!$D$74+MEV[[#This Row],[TOW02.5]]+MEV[[#This Row],[TOW02.6]]*CONTRATTO!$D$76</f>
        <v>29999.836000000003</v>
      </c>
      <c r="AE45" s="6">
        <f>SUMIF(ORDINI[MEV],MEV[[#This Row],[X ORDINE]],ORDINI[Valore Posizione])</f>
        <v>0</v>
      </c>
      <c r="AF45" s="6">
        <f>SUMIF(ORDINI[MEV],MEV[[#This Row],[X ORDINE]],ORDINI[Totale Fatturato])</f>
        <v>0</v>
      </c>
      <c r="AG45" s="6">
        <f>MEV[[#This Row],[Ordinato (BdO)]]-MEV[[#This Row],[Fatturato]]</f>
        <v>0</v>
      </c>
      <c r="AH45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"&amp;E45&amp;".xlsx","")</f>
        <v/>
      </c>
    </row>
    <row r="46" spans="1:34" s="267" customFormat="1" ht="16.25" customHeight="1" x14ac:dyDescent="0.2">
      <c r="A46" s="3">
        <f t="shared" si="0"/>
        <v>44</v>
      </c>
      <c r="B46" s="3">
        <v>141519</v>
      </c>
      <c r="C46" s="266" t="s">
        <v>41</v>
      </c>
      <c r="D46" s="3" t="str">
        <f>CONCATENATE(MEV[[#This Row],[GoTo]],"_",MEV[[#This Row],[Applicativo]])</f>
        <v>141519_NODO</v>
      </c>
      <c r="E46" s="8" t="s">
        <v>977</v>
      </c>
      <c r="F46" s="267" t="s">
        <v>28</v>
      </c>
      <c r="G46" s="267" t="s">
        <v>29</v>
      </c>
      <c r="H46" s="3">
        <v>2026</v>
      </c>
      <c r="I46" s="3" t="s">
        <v>983</v>
      </c>
      <c r="J46" s="3"/>
      <c r="K46" s="3"/>
      <c r="L46" s="268"/>
      <c r="M46" s="507">
        <v>59998.71</v>
      </c>
      <c r="N46" s="6" t="s">
        <v>623</v>
      </c>
      <c r="O46" s="6">
        <f>IF(MEV[[#This Row],[Importo Fornitura]]&gt;0,MEV[[#This Row],[Importo Fornitura]]-(MEV[[#This Row],[Importo Fornitura]]*VLOOKUP(MEV[[#This Row],[Tipo Contratto]],CONTRATTO!$B$4:$F$15,5,FALSE)),"")</f>
        <v>59998.71</v>
      </c>
      <c r="P46" s="269" t="s">
        <v>614</v>
      </c>
      <c r="Q46" s="269"/>
      <c r="R46" s="269"/>
      <c r="S46" s="269"/>
      <c r="T46" s="3"/>
      <c r="U46" s="267" t="e">
        <f>VLOOKUP(MEV[[#This Row],[X ORDINE]],ORDINI!$A$2:$I$26,2,FALSE)</f>
        <v>#N/A</v>
      </c>
      <c r="V46" s="270" t="e">
        <f>VLOOKUP(MEV[[#This Row],[BC]],CONTRATTO!$B$20:$C$60,2,FALSE)</f>
        <v>#N/A</v>
      </c>
      <c r="W46" s="3" t="e">
        <f>VLOOKUP(MEV[[#This Row],[BC]],CONTRATTO!$B$20:$E$60,4,FALSE)</f>
        <v>#N/A</v>
      </c>
      <c r="X46" s="271">
        <v>2.7</v>
      </c>
      <c r="Y46" s="271">
        <v>0</v>
      </c>
      <c r="Z46" s="271">
        <v>2.5</v>
      </c>
      <c r="AA46" s="271">
        <v>3.1030000000000002</v>
      </c>
      <c r="AB46" s="404">
        <v>38640</v>
      </c>
      <c r="AC46" s="272"/>
      <c r="AD46" s="6">
        <f>MEV[[#This Row],[TOW02.1]]*CONTRATTO!$D$71+MEV[[#This Row],[TOW02.2]]*CONTRATTO!$D$72+MEV[[#This Row],[TOW02.3]]*CONTRATTO!$D$73+MEV[[#This Row],[TOW02.4]]*CONTRATTO!$D$74+MEV[[#This Row],[TOW02.5]]+MEV[[#This Row],[TOW02.6]]*CONTRATTO!$D$76</f>
        <v>59998.706000000006</v>
      </c>
      <c r="AE46" s="6">
        <f>SUMIF(ORDINI[MEV],MEV[[#This Row],[X ORDINE]],ORDINI[Valore Posizione])</f>
        <v>0</v>
      </c>
      <c r="AF46" s="6">
        <f>SUMIF(ORDINI[MEV],MEV[[#This Row],[X ORDINE]],ORDINI[Totale Fatturato])</f>
        <v>0</v>
      </c>
      <c r="AG46" s="6">
        <f>MEV[[#This Row],[Ordinato (BdO)]]-MEV[[#This Row],[Fatturato]]</f>
        <v>0</v>
      </c>
      <c r="AH46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"&amp;E46&amp;".xlsx","")</f>
        <v/>
      </c>
    </row>
    <row r="47" spans="1:34" s="267" customFormat="1" ht="16.25" customHeight="1" x14ac:dyDescent="0.2">
      <c r="A47" s="3">
        <f t="shared" si="0"/>
        <v>45</v>
      </c>
      <c r="B47" s="3">
        <v>134627</v>
      </c>
      <c r="C47" s="266" t="s">
        <v>979</v>
      </c>
      <c r="D47" s="3" t="str">
        <f>CONCATENATE(MEV[[#This Row],[GoTo]],"_",MEV[[#This Row],[Applicativo]])</f>
        <v>134627_SAD</v>
      </c>
      <c r="E47" s="8" t="s">
        <v>978</v>
      </c>
      <c r="F47" s="267" t="s">
        <v>63</v>
      </c>
      <c r="G47" s="267" t="s">
        <v>24</v>
      </c>
      <c r="H47" s="3">
        <v>2026</v>
      </c>
      <c r="I47" s="3" t="s">
        <v>983</v>
      </c>
      <c r="J47" s="3"/>
      <c r="K47" s="3"/>
      <c r="L47" s="268"/>
      <c r="M47" s="507">
        <v>3027.52</v>
      </c>
      <c r="N47" s="6" t="s">
        <v>623</v>
      </c>
      <c r="O47" s="6">
        <f>IF(MEV[[#This Row],[Importo Fornitura]]&gt;0,MEV[[#This Row],[Importo Fornitura]]-(MEV[[#This Row],[Importo Fornitura]]*VLOOKUP(MEV[[#This Row],[Tipo Contratto]],CONTRATTO!$B$4:$F$15,5,FALSE)),"")</f>
        <v>3027.52</v>
      </c>
      <c r="P47" s="269" t="s">
        <v>614</v>
      </c>
      <c r="Q47" s="269"/>
      <c r="R47" s="269"/>
      <c r="S47" s="269"/>
      <c r="T47" s="3"/>
      <c r="U47" s="267" t="e">
        <f>VLOOKUP(MEV[[#This Row],[X ORDINE]],ORDINI!$A$2:$I$26,2,FALSE)</f>
        <v>#N/A</v>
      </c>
      <c r="V47" s="270" t="e">
        <f>VLOOKUP(MEV[[#This Row],[BC]],CONTRATTO!$B$20:$C$60,2,FALSE)</f>
        <v>#N/A</v>
      </c>
      <c r="W47" s="3" t="e">
        <f>VLOOKUP(MEV[[#This Row],[BC]],CONTRATTO!$B$20:$E$60,4,FALSE)</f>
        <v>#N/A</v>
      </c>
      <c r="X47" s="271">
        <v>0.13</v>
      </c>
      <c r="Y47" s="271">
        <v>0</v>
      </c>
      <c r="Z47" s="271">
        <v>0.16800000000000001</v>
      </c>
      <c r="AA47" s="271">
        <v>0.2</v>
      </c>
      <c r="AB47" s="404">
        <v>1788</v>
      </c>
      <c r="AC47" s="272"/>
      <c r="AD47" s="6">
        <f>MEV[[#This Row],[TOW02.1]]*CONTRATTO!$D$71+MEV[[#This Row],[TOW02.2]]*CONTRATTO!$D$72+MEV[[#This Row],[TOW02.3]]*CONTRATTO!$D$73+MEV[[#This Row],[TOW02.4]]*CONTRATTO!$D$74+MEV[[#This Row],[TOW02.5]]+MEV[[#This Row],[TOW02.6]]*CONTRATTO!$D$76</f>
        <v>3027.518</v>
      </c>
      <c r="AE47" s="6">
        <f>SUMIF(ORDINI[MEV],MEV[[#This Row],[X ORDINE]],ORDINI[Valore Posizione])</f>
        <v>0</v>
      </c>
      <c r="AF47" s="6">
        <f>SUMIF(ORDINI[MEV],MEV[[#This Row],[X ORDINE]],ORDINI[Totale Fatturato])</f>
        <v>0</v>
      </c>
      <c r="AG47" s="6">
        <f>MEV[[#This Row],[Ordinato (BdO)]]-MEV[[#This Row],[Fatturato]]</f>
        <v>0</v>
      </c>
      <c r="AH47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"&amp;E47&amp;".xlsx","")</f>
        <v/>
      </c>
    </row>
    <row r="48" spans="1:34" s="267" customFormat="1" ht="16.25" customHeight="1" x14ac:dyDescent="0.2">
      <c r="A48" s="3">
        <f t="shared" si="0"/>
        <v>46</v>
      </c>
      <c r="B48" s="3">
        <v>136967</v>
      </c>
      <c r="C48" s="266" t="s">
        <v>72</v>
      </c>
      <c r="D48" s="3" t="str">
        <f>CONCATENATE(MEV[[#This Row],[GoTo]],"_",MEV[[#This Row],[Applicativo]])</f>
        <v>136967_SAP EM / Mediation</v>
      </c>
      <c r="E48" s="8" t="s">
        <v>980</v>
      </c>
      <c r="F48" s="267" t="s">
        <v>58</v>
      </c>
      <c r="G48" s="267" t="s">
        <v>34</v>
      </c>
      <c r="H48" s="3">
        <v>2026</v>
      </c>
      <c r="I48" s="3" t="s">
        <v>983</v>
      </c>
      <c r="J48" s="3"/>
      <c r="K48" s="3"/>
      <c r="L48" s="268"/>
      <c r="M48" s="507">
        <v>54999.95</v>
      </c>
      <c r="N48" s="6" t="s">
        <v>623</v>
      </c>
      <c r="O48" s="6">
        <f>IF(MEV[[#This Row],[Importo Fornitura]]&gt;0,MEV[[#This Row],[Importo Fornitura]]-(MEV[[#This Row],[Importo Fornitura]]*VLOOKUP(MEV[[#This Row],[Tipo Contratto]],CONTRATTO!$B$4:$F$15,5,FALSE)),"")</f>
        <v>54999.95</v>
      </c>
      <c r="P48" s="269" t="s">
        <v>614</v>
      </c>
      <c r="Q48" s="269"/>
      <c r="R48" s="269"/>
      <c r="S48" s="269"/>
      <c r="T48" s="3"/>
      <c r="U48" s="267" t="e">
        <f>VLOOKUP(MEV[[#This Row],[X ORDINE]],ORDINI!$A$2:$I$26,2,FALSE)</f>
        <v>#N/A</v>
      </c>
      <c r="V48" s="270" t="e">
        <f>VLOOKUP(MEV[[#This Row],[BC]],CONTRATTO!$B$20:$C$60,2,FALSE)</f>
        <v>#N/A</v>
      </c>
      <c r="W48" s="3" t="e">
        <f>VLOOKUP(MEV[[#This Row],[BC]],CONTRATTO!$B$20:$E$60,4,FALSE)</f>
        <v>#N/A</v>
      </c>
      <c r="X48" s="271">
        <v>2.4300000000000002</v>
      </c>
      <c r="Y48" s="271">
        <v>0</v>
      </c>
      <c r="Z48" s="271">
        <v>2.3499999999999996</v>
      </c>
      <c r="AA48" s="271">
        <v>2.7690000000000001</v>
      </c>
      <c r="AB48" s="404">
        <v>35490</v>
      </c>
      <c r="AC48" s="272"/>
      <c r="AD48" s="6">
        <f>MEV[[#This Row],[TOW02.1]]*CONTRATTO!$D$71+MEV[[#This Row],[TOW02.2]]*CONTRATTO!$D$72+MEV[[#This Row],[TOW02.3]]*CONTRATTO!$D$73+MEV[[#This Row],[TOW02.4]]*CONTRATTO!$D$74+MEV[[#This Row],[TOW02.5]]+MEV[[#This Row],[TOW02.6]]*CONTRATTO!$D$76</f>
        <v>54999.948000000004</v>
      </c>
      <c r="AE48" s="6">
        <f>SUMIF(ORDINI[MEV],MEV[[#This Row],[X ORDINE]],ORDINI[Valore Posizione])</f>
        <v>0</v>
      </c>
      <c r="AF48" s="6">
        <f>SUMIF(ORDINI[MEV],MEV[[#This Row],[X ORDINE]],ORDINI[Totale Fatturato])</f>
        <v>0</v>
      </c>
      <c r="AG48" s="6">
        <f>MEV[[#This Row],[Ordinato (BdO)]]-MEV[[#This Row],[Fatturato]]</f>
        <v>0</v>
      </c>
      <c r="AH48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"&amp;E48&amp;".xlsx","")</f>
        <v/>
      </c>
    </row>
    <row r="49" spans="1:41" s="267" customFormat="1" ht="16.25" customHeight="1" x14ac:dyDescent="0.2">
      <c r="A49" s="3">
        <f t="shared" si="0"/>
        <v>47</v>
      </c>
      <c r="B49" s="3">
        <v>142461</v>
      </c>
      <c r="C49" s="266" t="s">
        <v>52</v>
      </c>
      <c r="D49" s="3" t="str">
        <f>CONCATENATE(MEV[[#This Row],[GoTo]],"_",MEV[[#This Row],[Applicativo]])</f>
        <v>142461_FMS</v>
      </c>
      <c r="E49" s="8" t="s">
        <v>994</v>
      </c>
      <c r="F49" s="267" t="s">
        <v>55</v>
      </c>
      <c r="G49" s="267" t="s">
        <v>968</v>
      </c>
      <c r="H49" s="3">
        <v>2026</v>
      </c>
      <c r="I49" s="3" t="s">
        <v>137</v>
      </c>
      <c r="J49" s="3"/>
      <c r="K49" s="3"/>
      <c r="L49" s="268" t="s">
        <v>37</v>
      </c>
      <c r="M49" s="507">
        <v>2762.9</v>
      </c>
      <c r="N49" s="6" t="s">
        <v>623</v>
      </c>
      <c r="O49" s="6">
        <f>IF(MEV[[#This Row],[Importo Fornitura]]&gt;0,MEV[[#This Row],[Importo Fornitura]]-(MEV[[#This Row],[Importo Fornitura]]*VLOOKUP(MEV[[#This Row],[Tipo Contratto]],CONTRATTO!$B$4:$F$15,5,FALSE)),"")</f>
        <v>2762.9</v>
      </c>
      <c r="P49" s="269" t="s">
        <v>995</v>
      </c>
      <c r="Q49" s="269"/>
      <c r="R49" s="269"/>
      <c r="S49" s="269"/>
      <c r="T49" s="3"/>
      <c r="U49" s="267" t="e">
        <f>VLOOKUP(MEV[[#This Row],[X ORDINE]],ORDINI!$A$2:$I$26,2,FALSE)</f>
        <v>#N/A</v>
      </c>
      <c r="V49" s="270" t="e">
        <f>VLOOKUP(MEV[[#This Row],[BC]],CONTRATTO!$B$20:$C$60,2,FALSE)</f>
        <v>#N/A</v>
      </c>
      <c r="W49" s="3" t="e">
        <f>VLOOKUP(MEV[[#This Row],[BC]],CONTRATTO!$B$20:$E$60,4,FALSE)</f>
        <v>#N/A</v>
      </c>
      <c r="X49" s="271">
        <v>0.126</v>
      </c>
      <c r="Y49" s="271">
        <v>0</v>
      </c>
      <c r="Z49" s="271">
        <v>0.11499999999999999</v>
      </c>
      <c r="AA49" s="271">
        <v>0.14100000000000001</v>
      </c>
      <c r="AB49" s="404">
        <v>1776</v>
      </c>
      <c r="AC49" s="272"/>
      <c r="AD49" s="6">
        <f>MEV[[#This Row],[TOW02.1]]*CONTRATTO!$D$71+MEV[[#This Row],[TOW02.2]]*CONTRATTO!$D$72+MEV[[#This Row],[TOW02.3]]*CONTRATTO!$D$73+MEV[[#This Row],[TOW02.4]]*CONTRATTO!$D$74+MEV[[#This Row],[TOW02.5]]+MEV[[#This Row],[TOW02.6]]*CONTRATTO!$D$76</f>
        <v>2762.904</v>
      </c>
      <c r="AE49" s="6">
        <f>SUMIF(ORDINI[MEV],MEV[[#This Row],[X ORDINE]],ORDINI[Valore Posizione])</f>
        <v>0</v>
      </c>
      <c r="AF49" s="6">
        <f>SUMIF(ORDINI[MEV],MEV[[#This Row],[X ORDINE]],ORDINI[Totale Fatturato])</f>
        <v>0</v>
      </c>
      <c r="AG49" s="6">
        <f>MEV[[#This Row],[Ordinato (BdO)]]-MEV[[#This Row],[Fatturato]]</f>
        <v>0</v>
      </c>
      <c r="AH49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"&amp;E49&amp;".xlsx","")</f>
        <v/>
      </c>
    </row>
    <row r="50" spans="1:41" s="267" customFormat="1" ht="16.25" customHeight="1" x14ac:dyDescent="0.2">
      <c r="A50" s="3">
        <f t="shared" si="0"/>
        <v>48</v>
      </c>
      <c r="B50" s="3" t="s">
        <v>753</v>
      </c>
      <c r="C50" s="266" t="s">
        <v>36</v>
      </c>
      <c r="D50" s="3" t="str">
        <f>CONCATENATE(MEV[[#This Row],[GoTo]],"_",MEV[[#This Row],[Applicativo]])</f>
        <v>TBD_BEP</v>
      </c>
      <c r="E50" s="8" t="s">
        <v>1001</v>
      </c>
      <c r="F50" s="267" t="s">
        <v>35</v>
      </c>
      <c r="G50" s="267" t="s">
        <v>24</v>
      </c>
      <c r="H50" s="3">
        <v>2026</v>
      </c>
      <c r="I50" s="3" t="s">
        <v>137</v>
      </c>
      <c r="J50" s="3"/>
      <c r="K50" s="3"/>
      <c r="L50" s="268" t="s">
        <v>37</v>
      </c>
      <c r="M50" s="507">
        <v>11073.64</v>
      </c>
      <c r="N50" s="6" t="s">
        <v>623</v>
      </c>
      <c r="O50" s="6">
        <f>IF(MEV[[#This Row],[Importo Fornitura]]&gt;0,MEV[[#This Row],[Importo Fornitura]]-(MEV[[#This Row],[Importo Fornitura]]*VLOOKUP(MEV[[#This Row],[Tipo Contratto]],CONTRATTO!$B$4:$F$15,5,FALSE)),"")</f>
        <v>11073.64</v>
      </c>
      <c r="P50" s="269" t="s">
        <v>1002</v>
      </c>
      <c r="Q50" s="269"/>
      <c r="R50" s="269"/>
      <c r="S50" s="269"/>
      <c r="T50" s="3"/>
      <c r="U50" s="267" t="e">
        <f>VLOOKUP(MEV[[#This Row],[X ORDINE]],ORDINI!$A$2:$I$26,2,FALSE)</f>
        <v>#N/A</v>
      </c>
      <c r="V50" s="270" t="e">
        <f>VLOOKUP(MEV[[#This Row],[BC]],CONTRATTO!$B$20:$C$60,2,FALSE)</f>
        <v>#N/A</v>
      </c>
      <c r="W50" s="3" t="e">
        <f>VLOOKUP(MEV[[#This Row],[BC]],CONTRATTO!$B$20:$E$60,4,FALSE)</f>
        <v>#N/A</v>
      </c>
      <c r="X50" s="271">
        <v>0.49093660105350712</v>
      </c>
      <c r="Y50" s="271">
        <v>0</v>
      </c>
      <c r="Z50" s="271">
        <v>0.45588775665399239</v>
      </c>
      <c r="AA50" s="271">
        <v>0.55245683860232941</v>
      </c>
      <c r="AB50" s="404">
        <v>7200</v>
      </c>
      <c r="AC50" s="272"/>
      <c r="AD50" s="6">
        <f>MEV[[#This Row],[TOW02.1]]*CONTRATTO!$D$71+MEV[[#This Row],[TOW02.2]]*CONTRATTO!$D$72+MEV[[#This Row],[TOW02.3]]*CONTRATTO!$D$73+MEV[[#This Row],[TOW02.4]]*CONTRATTO!$D$74+MEV[[#This Row],[TOW02.5]]+MEV[[#This Row],[TOW02.6]]*CONTRATTO!$D$76</f>
        <v>11073.6432</v>
      </c>
      <c r="AE50" s="6">
        <f>SUMIF(ORDINI[MEV],MEV[[#This Row],[X ORDINE]],ORDINI[Valore Posizione])</f>
        <v>0</v>
      </c>
      <c r="AF50" s="6">
        <f>SUMIF(ORDINI[MEV],MEV[[#This Row],[X ORDINE]],ORDINI[Totale Fatturato])</f>
        <v>0</v>
      </c>
      <c r="AG50" s="6">
        <f>MEV[[#This Row],[Ordinato (BdO)]]-MEV[[#This Row],[Fatturato]]</f>
        <v>0</v>
      </c>
      <c r="AH50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"&amp;E50&amp;".xlsx","")</f>
        <v/>
      </c>
    </row>
    <row r="51" spans="1:41" s="267" customFormat="1" ht="16.25" customHeight="1" x14ac:dyDescent="0.2">
      <c r="A51" s="3">
        <f t="shared" si="0"/>
        <v>49</v>
      </c>
      <c r="B51" s="3" t="s">
        <v>753</v>
      </c>
      <c r="C51" s="266" t="s">
        <v>51</v>
      </c>
      <c r="D51" s="3" t="str">
        <f>CONCATENATE(MEV[[#This Row],[GoTo]],"_",MEV[[#This Row],[Applicativo]])</f>
        <v>TBD_SP1</v>
      </c>
      <c r="E51" s="8" t="s">
        <v>1064</v>
      </c>
      <c r="F51" s="267" t="s">
        <v>32</v>
      </c>
      <c r="G51" s="267" t="s">
        <v>24</v>
      </c>
      <c r="H51" s="3">
        <v>2026</v>
      </c>
      <c r="I51" s="3" t="s">
        <v>134</v>
      </c>
      <c r="J51" s="3"/>
      <c r="K51" s="3"/>
      <c r="L51" s="268" t="s">
        <v>37</v>
      </c>
      <c r="M51" s="6">
        <v>45000</v>
      </c>
      <c r="N51" s="6" t="s">
        <v>623</v>
      </c>
      <c r="O51" s="6">
        <f>IF(MEV[[#This Row],[Importo Fornitura]]&gt;0,MEV[[#This Row],[Importo Fornitura]]-(MEV[[#This Row],[Importo Fornitura]]*VLOOKUP(MEV[[#This Row],[Tipo Contratto]],CONTRATTO!$B$4:$F$15,5,FALSE)),"")</f>
        <v>45000</v>
      </c>
      <c r="P51" s="269"/>
      <c r="Q51" s="269"/>
      <c r="R51" s="269"/>
      <c r="S51" s="269"/>
      <c r="T51" s="3"/>
      <c r="U51" s="267" t="e">
        <f>VLOOKUP(MEV[[#This Row],[X ORDINE]],ORDINI!$A$2:$I$26,2,FALSE)</f>
        <v>#N/A</v>
      </c>
      <c r="V51" s="270" t="e">
        <f>VLOOKUP(MEV[[#This Row],[BC]],CONTRATTO!$B$20:$C$60,2,FALSE)</f>
        <v>#N/A</v>
      </c>
      <c r="W51" s="3" t="e">
        <f>VLOOKUP(MEV[[#This Row],[BC]],CONTRATTO!$B$20:$E$60,4,FALSE)</f>
        <v>#N/A</v>
      </c>
      <c r="X51" s="271"/>
      <c r="Y51" s="271"/>
      <c r="Z51" s="271"/>
      <c r="AA51" s="271"/>
      <c r="AB51" s="404"/>
      <c r="AC51" s="272"/>
      <c r="AD51" s="6">
        <f>MEV[[#This Row],[TOW02.1]]*CONTRATTO!$D$71+MEV[[#This Row],[TOW02.2]]*CONTRATTO!$D$72+MEV[[#This Row],[TOW02.3]]*CONTRATTO!$D$73+MEV[[#This Row],[TOW02.4]]*CONTRATTO!$D$74+MEV[[#This Row],[TOW02.5]]+MEV[[#This Row],[TOW02.6]]*CONTRATTO!$D$76</f>
        <v>0</v>
      </c>
      <c r="AE51" s="6">
        <f>SUMIF(ORDINI[MEV],MEV[[#This Row],[X ORDINE]],ORDINI[Valore Posizione])</f>
        <v>0</v>
      </c>
      <c r="AF51" s="6">
        <f>SUMIF(ORDINI[MEV],MEV[[#This Row],[X ORDINE]],ORDINI[Totale Fatturato])</f>
        <v>0</v>
      </c>
      <c r="AG51" s="6">
        <f>MEV[[#This Row],[Ordinato (BdO)]]-MEV[[#This Row],[Fatturato]]</f>
        <v>0</v>
      </c>
      <c r="AH51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"&amp;E51&amp;".xlsx","")</f>
        <v/>
      </c>
      <c r="AJ51" s="267" t="s">
        <v>325</v>
      </c>
      <c r="AK51" s="267" t="s">
        <v>166</v>
      </c>
      <c r="AL51" s="530">
        <v>70000</v>
      </c>
      <c r="AM51" s="267" t="s">
        <v>756</v>
      </c>
      <c r="AN51" s="267" t="s">
        <v>1016</v>
      </c>
      <c r="AO51" s="267" t="s">
        <v>1016</v>
      </c>
    </row>
    <row r="52" spans="1:41" s="267" customFormat="1" ht="16.25" customHeight="1" x14ac:dyDescent="0.2">
      <c r="A52" s="3">
        <f t="shared" si="0"/>
        <v>50</v>
      </c>
      <c r="B52" s="3" t="s">
        <v>753</v>
      </c>
      <c r="C52" s="266" t="s">
        <v>36</v>
      </c>
      <c r="D52" s="3"/>
      <c r="E52" s="8" t="s">
        <v>1052</v>
      </c>
      <c r="F52" s="267" t="s">
        <v>35</v>
      </c>
      <c r="G52" s="267" t="s">
        <v>24</v>
      </c>
      <c r="H52" s="3">
        <v>2026</v>
      </c>
      <c r="I52" s="3" t="s">
        <v>137</v>
      </c>
      <c r="J52" s="3"/>
      <c r="K52" s="3"/>
      <c r="L52" s="268" t="s">
        <v>37</v>
      </c>
      <c r="M52" s="6">
        <v>56029.89</v>
      </c>
      <c r="N52" s="6" t="s">
        <v>623</v>
      </c>
      <c r="O52" s="6">
        <f>IF(MEV[[#This Row],[Importo Fornitura]]&gt;0,MEV[[#This Row],[Importo Fornitura]]-(MEV[[#This Row],[Importo Fornitura]]*VLOOKUP(MEV[[#This Row],[Tipo Contratto]],CONTRATTO!$B$4:$F$15,5,FALSE)),"")</f>
        <v>56029.89</v>
      </c>
      <c r="P52" s="269" t="s">
        <v>1053</v>
      </c>
      <c r="Q52" s="269"/>
      <c r="R52" s="269"/>
      <c r="S52" s="269"/>
      <c r="T52" s="3"/>
      <c r="U52" s="267" t="e">
        <f>VLOOKUP(MEV[[#This Row],[X ORDINE]],ORDINI!$A$2:$I$26,2,FALSE)</f>
        <v>#N/A</v>
      </c>
      <c r="V52" s="270" t="e">
        <f>VLOOKUP(MEV[[#This Row],[BC]],CONTRATTO!$B$20:$C$60,2,FALSE)</f>
        <v>#N/A</v>
      </c>
      <c r="W52" s="3" t="e">
        <f>VLOOKUP(MEV[[#This Row],[BC]],CONTRATTO!$B$20:$E$60,4,FALSE)</f>
        <v>#N/A</v>
      </c>
      <c r="X52" s="271">
        <v>2.4860000000000002</v>
      </c>
      <c r="Y52" s="271">
        <v>0</v>
      </c>
      <c r="Z52" s="271">
        <v>2.3070000000000004</v>
      </c>
      <c r="AA52" s="271">
        <v>2.7970000000000002</v>
      </c>
      <c r="AB52" s="404">
        <v>36420</v>
      </c>
      <c r="AC52" s="272"/>
      <c r="AD52" s="6">
        <f>MEV[[#This Row],[TOW02.1]]*CONTRATTO!$D$71+MEV[[#This Row],[TOW02.2]]*CONTRATTO!$D$72+MEV[[#This Row],[TOW02.3]]*CONTRATTO!$D$73+MEV[[#This Row],[TOW02.4]]*CONTRATTO!$D$74+MEV[[#This Row],[TOW02.5]]+MEV[[#This Row],[TOW02.6]]*CONTRATTO!$D$76</f>
        <v>56029.888000000006</v>
      </c>
      <c r="AE52" s="6">
        <f>SUMIF(ORDINI[MEV],MEV[[#This Row],[X ORDINE]],ORDINI[Valore Posizione])</f>
        <v>0</v>
      </c>
      <c r="AF52" s="6">
        <f>SUMIF(ORDINI[MEV],MEV[[#This Row],[X ORDINE]],ORDINI[Totale Fatturato])</f>
        <v>0</v>
      </c>
      <c r="AG52" s="6">
        <f>MEV[[#This Row],[Ordinato (BdO)]]-MEV[[#This Row],[Fatturato]]</f>
        <v>0</v>
      </c>
      <c r="AH52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"&amp;E52&amp;".xlsx","")</f>
        <v/>
      </c>
      <c r="AJ52" s="267" t="s">
        <v>325</v>
      </c>
      <c r="AK52" s="267" t="s">
        <v>166</v>
      </c>
      <c r="AL52" s="530">
        <v>70000</v>
      </c>
      <c r="AM52" s="267" t="s">
        <v>756</v>
      </c>
      <c r="AN52" s="267" t="s">
        <v>1016</v>
      </c>
      <c r="AO52" s="267" t="s">
        <v>1016</v>
      </c>
    </row>
    <row r="53" spans="1:41" s="267" customFormat="1" ht="16.25" customHeight="1" x14ac:dyDescent="0.2">
      <c r="A53" s="3">
        <f t="shared" si="0"/>
        <v>51</v>
      </c>
      <c r="B53" s="3" t="s">
        <v>753</v>
      </c>
      <c r="C53" s="266" t="s">
        <v>152</v>
      </c>
      <c r="D53" s="3" t="str">
        <f>CONCATENATE(MEV[[#This Row],[GoTo]],"_",MEV[[#This Row],[Applicativo]])</f>
        <v>TBD_RECUPERO</v>
      </c>
      <c r="E53" s="1" t="s">
        <v>1049</v>
      </c>
      <c r="F53" s="267" t="s">
        <v>162</v>
      </c>
      <c r="H53" s="3">
        <v>2026</v>
      </c>
      <c r="I53" s="3" t="s">
        <v>137</v>
      </c>
      <c r="J53" s="3"/>
      <c r="K53" s="3"/>
      <c r="L53" s="268" t="s">
        <v>25</v>
      </c>
      <c r="M53" s="466">
        <v>60000</v>
      </c>
      <c r="N53" s="6" t="s">
        <v>623</v>
      </c>
      <c r="O53" s="6">
        <f>IF(MEV[[#This Row],[Importo Fornitura]]&gt;0,MEV[[#This Row],[Importo Fornitura]]-(MEV[[#This Row],[Importo Fornitura]]*VLOOKUP(MEV[[#This Row],[Tipo Contratto]],CONTRATTO!$B$4:$F$15,5,FALSE)),"")</f>
        <v>60000</v>
      </c>
      <c r="P53" s="269" t="s">
        <v>1072</v>
      </c>
      <c r="Q53" s="269"/>
      <c r="R53" s="269"/>
      <c r="S53" s="269"/>
      <c r="T53" s="3"/>
      <c r="U53" s="267" t="e">
        <f>VLOOKUP(MEV[[#This Row],[X ORDINE]],ORDINI!$A$2:$I$26,2,FALSE)</f>
        <v>#N/A</v>
      </c>
      <c r="V53" s="270" t="e">
        <f>VLOOKUP(MEV[[#This Row],[BC]],CONTRATTO!$B$20:$C$60,2,FALSE)</f>
        <v>#N/A</v>
      </c>
      <c r="W53" s="3" t="e">
        <f>VLOOKUP(MEV[[#This Row],[BC]],CONTRATTO!$B$20:$E$60,4,FALSE)</f>
        <v>#N/A</v>
      </c>
      <c r="X53" s="271"/>
      <c r="Y53" s="271"/>
      <c r="Z53" s="271"/>
      <c r="AA53" s="271"/>
      <c r="AB53" s="404"/>
      <c r="AC53" s="272"/>
      <c r="AD53" s="6">
        <f>MEV[[#This Row],[TOW02.1]]*CONTRATTO!$D$71+MEV[[#This Row],[TOW02.2]]*CONTRATTO!$D$72+MEV[[#This Row],[TOW02.3]]*CONTRATTO!$D$73+MEV[[#This Row],[TOW02.4]]*CONTRATTO!$D$74+MEV[[#This Row],[TOW02.5]]+MEV[[#This Row],[TOW02.6]]*CONTRATTO!$D$76</f>
        <v>0</v>
      </c>
      <c r="AE53" s="6">
        <f>SUMIF(ORDINI[MEV],MEV[[#This Row],[X ORDINE]],ORDINI[Valore Posizione])</f>
        <v>0</v>
      </c>
      <c r="AF53" s="6">
        <f>SUMIF(ORDINI[MEV],MEV[[#This Row],[X ORDINE]],ORDINI[Totale Fatturato])</f>
        <v>0</v>
      </c>
      <c r="AG53" s="6">
        <f>MEV[[#This Row],[Ordinato (BdO)]]-MEV[[#This Row],[Fatturato]]</f>
        <v>0</v>
      </c>
      <c r="AH53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"&amp;E53&amp;".xlsx","")</f>
        <v>https://capgemini.sharepoint.com/:f:/r/sites/LOGISTICA-GOVERNANCE2/Shared%20Documents/General/GARA%202025/ECONOMICS/TabelleOfferte/R.26.10/Tabella Offerta - TBD_RECUPERO - Checchi - Q1 2026.xlsx</v>
      </c>
      <c r="AL53" s="530"/>
    </row>
    <row r="54" spans="1:41" s="267" customFormat="1" ht="16.25" customHeight="1" x14ac:dyDescent="0.2">
      <c r="A54" s="3">
        <f t="shared" si="0"/>
        <v>52</v>
      </c>
      <c r="B54" s="3" t="s">
        <v>753</v>
      </c>
      <c r="C54" s="266" t="s">
        <v>152</v>
      </c>
      <c r="D54" s="3" t="str">
        <f>CONCATENATE(MEV[[#This Row],[GoTo]],"_",MEV[[#This Row],[Applicativo]])</f>
        <v>TBD_RECUPERO</v>
      </c>
      <c r="E54" s="1" t="s">
        <v>1050</v>
      </c>
      <c r="F54" s="267" t="s">
        <v>162</v>
      </c>
      <c r="H54" s="3">
        <v>2026</v>
      </c>
      <c r="I54" s="3" t="s">
        <v>137</v>
      </c>
      <c r="J54" s="3"/>
      <c r="K54" s="3"/>
      <c r="L54" s="268" t="s">
        <v>25</v>
      </c>
      <c r="M54" s="466">
        <v>75000</v>
      </c>
      <c r="N54" s="6" t="s">
        <v>623</v>
      </c>
      <c r="O54" s="6">
        <f>IF(MEV[[#This Row],[Importo Fornitura]]&gt;0,MEV[[#This Row],[Importo Fornitura]]-(MEV[[#This Row],[Importo Fornitura]]*VLOOKUP(MEV[[#This Row],[Tipo Contratto]],CONTRATTO!$B$4:$F$15,5,FALSE)),"")</f>
        <v>75000</v>
      </c>
      <c r="P54" s="269" t="s">
        <v>1072</v>
      </c>
      <c r="Q54" s="269"/>
      <c r="R54" s="269"/>
      <c r="S54" s="269"/>
      <c r="T54" s="3"/>
      <c r="U54" s="267" t="e">
        <f>VLOOKUP(MEV[[#This Row],[X ORDINE]],ORDINI!$A$2:$I$26,2,FALSE)</f>
        <v>#N/A</v>
      </c>
      <c r="V54" s="270" t="e">
        <f>VLOOKUP(MEV[[#This Row],[BC]],CONTRATTO!$B$20:$C$60,2,FALSE)</f>
        <v>#N/A</v>
      </c>
      <c r="W54" s="3" t="e">
        <f>VLOOKUP(MEV[[#This Row],[BC]],CONTRATTO!$B$20:$E$60,4,FALSE)</f>
        <v>#N/A</v>
      </c>
      <c r="X54" s="271"/>
      <c r="Y54" s="271"/>
      <c r="Z54" s="271"/>
      <c r="AA54" s="271"/>
      <c r="AB54" s="404"/>
      <c r="AC54" s="272"/>
      <c r="AD54" s="6">
        <f>MEV[[#This Row],[TOW02.1]]*CONTRATTO!$D$71+MEV[[#This Row],[TOW02.2]]*CONTRATTO!$D$72+MEV[[#This Row],[TOW02.3]]*CONTRATTO!$D$73+MEV[[#This Row],[TOW02.4]]*CONTRATTO!$D$74+MEV[[#This Row],[TOW02.5]]+MEV[[#This Row],[TOW02.6]]*CONTRATTO!$D$76</f>
        <v>0</v>
      </c>
      <c r="AE54" s="6">
        <f>SUMIF(ORDINI[MEV],MEV[[#This Row],[X ORDINE]],ORDINI[Valore Posizione])</f>
        <v>0</v>
      </c>
      <c r="AF54" s="6">
        <f>SUMIF(ORDINI[MEV],MEV[[#This Row],[X ORDINE]],ORDINI[Totale Fatturato])</f>
        <v>0</v>
      </c>
      <c r="AG54" s="6">
        <f>MEV[[#This Row],[Ordinato (BdO)]]-MEV[[#This Row],[Fatturato]]</f>
        <v>0</v>
      </c>
      <c r="AH54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"&amp;E54&amp;".xlsx","")</f>
        <v>https://capgemini.sharepoint.com/:f:/r/sites/LOGISTICA-GOVERNANCE2/Shared%20Documents/General/GARA%202025/ECONOMICS/TabelleOfferte/R.26.10/Tabella Offerta - TBD_RECUPERO - T&amp;T Repo 2025.xlsx</v>
      </c>
      <c r="AL54" s="530"/>
    </row>
    <row r="55" spans="1:41" s="267" customFormat="1" ht="16.25" customHeight="1" x14ac:dyDescent="0.2">
      <c r="A55" s="3">
        <f t="shared" si="0"/>
        <v>53</v>
      </c>
      <c r="B55" s="3" t="s">
        <v>753</v>
      </c>
      <c r="C55" s="266" t="s">
        <v>152</v>
      </c>
      <c r="D55" s="3" t="str">
        <f>CONCATENATE(MEV[[#This Row],[GoTo]],"_",MEV[[#This Row],[Applicativo]])</f>
        <v>TBD_RECUPERO</v>
      </c>
      <c r="E55" s="1" t="s">
        <v>1051</v>
      </c>
      <c r="F55" s="267" t="s">
        <v>162</v>
      </c>
      <c r="H55" s="3">
        <v>2026</v>
      </c>
      <c r="I55" s="3" t="s">
        <v>137</v>
      </c>
      <c r="J55" s="3"/>
      <c r="K55" s="3"/>
      <c r="L55" s="268" t="s">
        <v>25</v>
      </c>
      <c r="M55" s="466">
        <v>50000</v>
      </c>
      <c r="N55" s="6" t="s">
        <v>623</v>
      </c>
      <c r="O55" s="6">
        <f>IF(MEV[[#This Row],[Importo Fornitura]]&gt;0,MEV[[#This Row],[Importo Fornitura]]-(MEV[[#This Row],[Importo Fornitura]]*VLOOKUP(MEV[[#This Row],[Tipo Contratto]],CONTRATTO!$B$4:$F$15,5,FALSE)),"")</f>
        <v>50000</v>
      </c>
      <c r="P55" s="269" t="s">
        <v>1072</v>
      </c>
      <c r="Q55" s="269"/>
      <c r="R55" s="269"/>
      <c r="S55" s="269"/>
      <c r="T55" s="3"/>
      <c r="U55" s="267" t="e">
        <f>VLOOKUP(MEV[[#This Row],[X ORDINE]],ORDINI!$A$2:$I$26,2,FALSE)</f>
        <v>#N/A</v>
      </c>
      <c r="V55" s="270" t="e">
        <f>VLOOKUP(MEV[[#This Row],[BC]],CONTRATTO!$B$20:$C$60,2,FALSE)</f>
        <v>#N/A</v>
      </c>
      <c r="W55" s="3" t="e">
        <f>VLOOKUP(MEV[[#This Row],[BC]],CONTRATTO!$B$20:$E$60,4,FALSE)</f>
        <v>#N/A</v>
      </c>
      <c r="X55" s="271"/>
      <c r="Y55" s="271"/>
      <c r="Z55" s="271"/>
      <c r="AA55" s="271"/>
      <c r="AB55" s="404"/>
      <c r="AC55" s="272"/>
      <c r="AD55" s="6">
        <f>MEV[[#This Row],[TOW02.1]]*CONTRATTO!$D$71+MEV[[#This Row],[TOW02.2]]*CONTRATTO!$D$72+MEV[[#This Row],[TOW02.3]]*CONTRATTO!$D$73+MEV[[#This Row],[TOW02.4]]*CONTRATTO!$D$74+MEV[[#This Row],[TOW02.5]]+MEV[[#This Row],[TOW02.6]]*CONTRATTO!$D$76</f>
        <v>0</v>
      </c>
      <c r="AE55" s="6">
        <f>SUMIF(ORDINI[MEV],MEV[[#This Row],[X ORDINE]],ORDINI[Valore Posizione])</f>
        <v>0</v>
      </c>
      <c r="AF55" s="6">
        <f>SUMIF(ORDINI[MEV],MEV[[#This Row],[X ORDINE]],ORDINI[Totale Fatturato])</f>
        <v>0</v>
      </c>
      <c r="AG55" s="6">
        <f>MEV[[#This Row],[Ordinato (BdO)]]-MEV[[#This Row],[Fatturato]]</f>
        <v>0</v>
      </c>
      <c r="AH55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"&amp;E55&amp;".xlsx","")</f>
        <v>https://capgemini.sharepoint.com/:f:/r/sites/LOGISTICA-GOVERNANCE2/Shared%20Documents/General/GARA%202025/ECONOMICS/TabelleOfferte/R.26.10/Tabella Offerta - TBD_RECUPERO - Corteselli 2025.xlsx</v>
      </c>
      <c r="AL55" s="530"/>
    </row>
    <row r="56" spans="1:41" s="267" customFormat="1" ht="16.25" customHeight="1" x14ac:dyDescent="0.2">
      <c r="A56" s="3">
        <f t="shared" si="0"/>
        <v>54</v>
      </c>
      <c r="B56" s="3" t="s">
        <v>1076</v>
      </c>
      <c r="C56" s="266" t="s">
        <v>152</v>
      </c>
      <c r="D56" s="3" t="str">
        <f>CONCATENATE(MEV[[#This Row],[GoTo]],"_",MEV[[#This Row],[Applicativo]])</f>
        <v>TBD_1_RECUPERO</v>
      </c>
      <c r="E56" s="1" t="s">
        <v>1074</v>
      </c>
      <c r="F56" s="267" t="s">
        <v>162</v>
      </c>
      <c r="H56" s="3">
        <v>2026</v>
      </c>
      <c r="I56" s="3" t="s">
        <v>137</v>
      </c>
      <c r="J56" s="3"/>
      <c r="K56" s="3"/>
      <c r="L56" s="268" t="s">
        <v>25</v>
      </c>
      <c r="M56" s="466">
        <v>1000</v>
      </c>
      <c r="N56" s="6" t="s">
        <v>623</v>
      </c>
      <c r="O56" s="6">
        <f>IF(MEV[[#This Row],[Importo Fornitura]]&gt;0,MEV[[#This Row],[Importo Fornitura]]-(MEV[[#This Row],[Importo Fornitura]]*VLOOKUP(MEV[[#This Row],[Tipo Contratto]],CONTRATTO!$B$4:$F$15,5,FALSE)),"")</f>
        <v>1000</v>
      </c>
      <c r="P56" s="269"/>
      <c r="Q56" s="269"/>
      <c r="R56" s="269"/>
      <c r="S56" s="269"/>
      <c r="T56" s="3"/>
      <c r="U56" s="267" t="e">
        <f>VLOOKUP(MEV[[#This Row],[X ORDINE]],ORDINI!$A$2:$I$26,2,FALSE)</f>
        <v>#N/A</v>
      </c>
      <c r="V56" s="270" t="e">
        <f>VLOOKUP(MEV[[#This Row],[BC]],CONTRATTO!$B$20:$C$60,2,FALSE)</f>
        <v>#N/A</v>
      </c>
      <c r="W56" s="3" t="e">
        <f>VLOOKUP(MEV[[#This Row],[BC]],CONTRATTO!$B$20:$E$60,4,FALSE)</f>
        <v>#N/A</v>
      </c>
      <c r="X56" s="271"/>
      <c r="Y56" s="271"/>
      <c r="Z56" s="271"/>
      <c r="AA56" s="271"/>
      <c r="AB56" s="404"/>
      <c r="AC56" s="272"/>
      <c r="AD56" s="6">
        <f>MEV[[#This Row],[TOW02.1]]*CONTRATTO!$D$71+MEV[[#This Row],[TOW02.2]]*CONTRATTO!$D$72+MEV[[#This Row],[TOW02.3]]*CONTRATTO!$D$73+MEV[[#This Row],[TOW02.4]]*CONTRATTO!$D$74+MEV[[#This Row],[TOW02.5]]+MEV[[#This Row],[TOW02.6]]*CONTRATTO!$D$76</f>
        <v>0</v>
      </c>
      <c r="AE56" s="6">
        <f>SUMIF(ORDINI[MEV],MEV[[#This Row],[X ORDINE]],ORDINI[Valore Posizione])</f>
        <v>0</v>
      </c>
      <c r="AF56" s="6">
        <f>SUMIF(ORDINI[MEV],MEV[[#This Row],[X ORDINE]],ORDINI[Totale Fatturato])</f>
        <v>0</v>
      </c>
      <c r="AG56" s="6">
        <f>MEV[[#This Row],[Ordinato (BdO)]]-MEV[[#This Row],[Fatturato]]</f>
        <v>0</v>
      </c>
      <c r="AH56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"&amp;E56&amp;".xlsx","")</f>
        <v>https://capgemini.sharepoint.com/:f:/r/sites/LOGISTICA-GOVERNANCE2/Shared%20Documents/General/GARA%202025/ECONOMICS/TabelleOfferte/R.26.10/Tabella Offerta - TBD_1_RECUPERO - MAURO1.xlsx</v>
      </c>
      <c r="AL56" s="530"/>
    </row>
    <row r="57" spans="1:41" s="267" customFormat="1" ht="16.25" customHeight="1" x14ac:dyDescent="0.2">
      <c r="A57" s="3">
        <v>55</v>
      </c>
      <c r="B57" s="3" t="s">
        <v>1077</v>
      </c>
      <c r="C57" s="266" t="s">
        <v>152</v>
      </c>
      <c r="D57" s="3" t="str">
        <f>CONCATENATE(MEV[[#This Row],[GoTo]],"_",MEV[[#This Row],[Applicativo]])</f>
        <v>TBD_2_RECUPERO</v>
      </c>
      <c r="E57" s="1" t="s">
        <v>1075</v>
      </c>
      <c r="F57" s="267" t="s">
        <v>162</v>
      </c>
      <c r="H57" s="3">
        <v>2026</v>
      </c>
      <c r="I57" s="3" t="s">
        <v>137</v>
      </c>
      <c r="J57" s="3"/>
      <c r="K57" s="3"/>
      <c r="L57" s="268" t="s">
        <v>25</v>
      </c>
      <c r="M57" s="466">
        <v>1000</v>
      </c>
      <c r="N57" s="6" t="s">
        <v>623</v>
      </c>
      <c r="O57" s="6">
        <f>IF(MEV[[#This Row],[Importo Fornitura]]&gt;0,MEV[[#This Row],[Importo Fornitura]]-(MEV[[#This Row],[Importo Fornitura]]*VLOOKUP(MEV[[#This Row],[Tipo Contratto]],CONTRATTO!$B$4:$F$15,5,FALSE)),"")</f>
        <v>1000</v>
      </c>
      <c r="P57" s="269"/>
      <c r="Q57" s="269"/>
      <c r="R57" s="269"/>
      <c r="S57" s="269"/>
      <c r="T57" s="3"/>
      <c r="U57" s="267" t="e">
        <f>VLOOKUP(MEV[[#This Row],[X ORDINE]],ORDINI!$A$2:$I$26,2,FALSE)</f>
        <v>#N/A</v>
      </c>
      <c r="V57" s="270" t="e">
        <f>VLOOKUP(MEV[[#This Row],[BC]],CONTRATTO!$B$20:$C$60,2,FALSE)</f>
        <v>#N/A</v>
      </c>
      <c r="W57" s="3" t="e">
        <f>VLOOKUP(MEV[[#This Row],[BC]],CONTRATTO!$B$20:$E$60,4,FALSE)</f>
        <v>#N/A</v>
      </c>
      <c r="X57" s="271"/>
      <c r="Y57" s="271"/>
      <c r="Z57" s="271"/>
      <c r="AA57" s="271"/>
      <c r="AB57" s="404"/>
      <c r="AC57" s="272"/>
      <c r="AD57" s="6">
        <f>MEV[[#This Row],[TOW02.1]]*CONTRATTO!$D$71+MEV[[#This Row],[TOW02.2]]*CONTRATTO!$D$72+MEV[[#This Row],[TOW02.3]]*CONTRATTO!$D$73+MEV[[#This Row],[TOW02.4]]*CONTRATTO!$D$74+MEV[[#This Row],[TOW02.5]]+MEV[[#This Row],[TOW02.6]]*CONTRATTO!$D$76</f>
        <v>0</v>
      </c>
      <c r="AE57" s="6">
        <f>SUMIF(ORDINI[MEV],MEV[[#This Row],[X ORDINE]],ORDINI[Valore Posizione])</f>
        <v>0</v>
      </c>
      <c r="AF57" s="6">
        <f>SUMIF(ORDINI[MEV],MEV[[#This Row],[X ORDINE]],ORDINI[Totale Fatturato])</f>
        <v>0</v>
      </c>
      <c r="AG57" s="6">
        <f>MEV[[#This Row],[Ordinato (BdO)]]-MEV[[#This Row],[Fatturato]]</f>
        <v>0</v>
      </c>
      <c r="AH57" s="267" t="str">
        <f>IF(MEV[[#This Row],[Stato]]="Approvato","https://capgemini.sharepoint.com/:f:/r/sites/LOGISTICA-GOVERNANCE2/Shared%20Documents/General/GARA%202025/ECONOMICS/TabelleOfferte/"&amp;MEV[[#This Row],[Release]]&amp;"/Tabella Offerta - "&amp;MEV[[#This Row],[GoTo]]&amp;"_"&amp;MEV[[#This Row],[Applicativo]]&amp;" - "&amp;E57&amp;".xlsx","")</f>
        <v>https://capgemini.sharepoint.com/:f:/r/sites/LOGISTICA-GOVERNANCE2/Shared%20Documents/General/GARA%202025/ECONOMICS/TabelleOfferte/R.26.10/Tabella Offerta - TBD_2_RECUPERO - MAURO2.xlsx</v>
      </c>
    </row>
    <row r="58" spans="1:41" ht="22.25" customHeight="1" x14ac:dyDescent="0.2">
      <c r="A58" s="2" t="s">
        <v>11</v>
      </c>
      <c r="M58" s="5">
        <f>SUBTOTAL(109,MEV[Importo Fornitura])</f>
        <v>2623298.6500000008</v>
      </c>
      <c r="N58" s="5"/>
      <c r="O58" s="5">
        <f>SUBTOTAL(109,MEV[Importo Fornitura])</f>
        <v>2623298.6500000008</v>
      </c>
      <c r="X58" s="11">
        <f t="shared" ref="X58:AG58" si="1">SUBTOTAL(109,X3:X57)</f>
        <v>98.880936601053506</v>
      </c>
      <c r="Y58" s="11">
        <f t="shared" si="1"/>
        <v>27.690000000000005</v>
      </c>
      <c r="Z58" s="11">
        <f t="shared" si="1"/>
        <v>71.272587756653976</v>
      </c>
      <c r="AA58" s="11">
        <f t="shared" si="1"/>
        <v>84.68845683860232</v>
      </c>
      <c r="AB58" s="405">
        <f t="shared" si="1"/>
        <v>806512.10000000009</v>
      </c>
      <c r="AC58" s="4">
        <f t="shared" si="1"/>
        <v>6</v>
      </c>
      <c r="AD58" s="5">
        <f t="shared" si="1"/>
        <v>1778273.8704000004</v>
      </c>
      <c r="AE58" s="5">
        <f t="shared" si="1"/>
        <v>38658</v>
      </c>
      <c r="AF58" s="5">
        <f t="shared" si="1"/>
        <v>19329</v>
      </c>
      <c r="AG58" s="5">
        <f t="shared" si="1"/>
        <v>19329</v>
      </c>
    </row>
    <row r="62" spans="1:41" x14ac:dyDescent="0.2">
      <c r="M62" s="5"/>
    </row>
    <row r="63" spans="1:41" x14ac:dyDescent="0.2">
      <c r="M63" s="5"/>
    </row>
    <row r="65" spans="13:13" x14ac:dyDescent="0.2">
      <c r="M65" s="5"/>
    </row>
  </sheetData>
  <phoneticPr fontId="13" type="noConversion"/>
  <conditionalFormatting sqref="AE3:AE57">
    <cfRule type="expression" dxfId="35" priority="1">
      <formula>AD3&lt;&gt;AE3</formula>
    </cfRule>
  </conditionalFormatting>
  <dataValidations count="2">
    <dataValidation type="list" allowBlank="1" showInputMessage="1" showErrorMessage="1" sqref="AJ3:AJ57" xr:uid="{0A94E84E-2F91-4B62-9310-5E8DDE33279A}">
      <formula1>"SI,NO"</formula1>
    </dataValidation>
    <dataValidation type="list" allowBlank="1" showInputMessage="1" showErrorMessage="1" sqref="AM3:AM57" xr:uid="{A29E9613-4E77-4DA4-A269-31E1D7B84A0F}">
      <formula1>"SI,NO,Chiesto in attesa"</formula1>
    </dataValidation>
  </dataValidations>
  <hyperlinks>
    <hyperlink ref="AR7" r:id="rId1" xr:uid="{16A97DA4-ADDE-E944-A04D-CBE8A4B3C156}"/>
    <hyperlink ref="AI11" r:id="rId2" xr:uid="{344BF73A-FD96-5441-A933-74352F760B99}"/>
    <hyperlink ref="AI32" r:id="rId3" xr:uid="{89751B2C-0236-6642-AC21-7D7CE9938419}"/>
  </hyperlinks>
  <pageMargins left="0.7" right="0.7" top="0.75" bottom="0.75" header="0.3" footer="0.3"/>
  <pageSetup orientation="portrait"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705E5CA-5B82-46C3-9600-FF05D8DF581F}">
          <x14:formula1>
            <xm:f>TABELLE!$L$3:$L$6</xm:f>
          </x14:formula1>
          <xm:sqref>AK3:AK57</xm:sqref>
        </x14:dataValidation>
        <x14:dataValidation type="list" allowBlank="1" showInputMessage="1" showErrorMessage="1" xr:uid="{E388AA5B-8CD0-465A-A7BE-1EF81038DE3F}">
          <x14:formula1>
            <xm:f>TABELLE!$B$31:$B$35</xm:f>
          </x14:formula1>
          <xm:sqref>H3:H57</xm:sqref>
        </x14:dataValidation>
        <x14:dataValidation type="list" allowBlank="1" showInputMessage="1" showErrorMessage="1" xr:uid="{5C53DC7E-CA4D-4141-90A9-C533ABCE56E8}">
          <x14:formula1>
            <xm:f>TABELLE!$D$3:$D$10</xm:f>
          </x14:formula1>
          <xm:sqref>L3:L57</xm:sqref>
        </x14:dataValidation>
        <x14:dataValidation type="list" allowBlank="1" showInputMessage="1" showErrorMessage="1" xr:uid="{A7A300FF-F6D3-45F8-9A55-75B67B3D10FC}">
          <x14:formula1>
            <xm:f>TABELLE!$B$3:$B$22</xm:f>
          </x14:formula1>
          <xm:sqref>F3:F57</xm:sqref>
        </x14:dataValidation>
        <x14:dataValidation type="list" allowBlank="1" showInputMessage="1" showErrorMessage="1" xr:uid="{7B2AE889-483A-4613-9EB4-B8079529B470}">
          <x14:formula1>
            <xm:f>TABELLE!$C$3:$C$7</xm:f>
          </x14:formula1>
          <xm:sqref>G3:G57</xm:sqref>
        </x14:dataValidation>
        <x14:dataValidation type="list" allowBlank="1" showInputMessage="1" showErrorMessage="1" xr:uid="{DE7200BA-A246-4BF6-88A1-67B72D2E54EA}">
          <x14:formula1>
            <xm:f>TABELLE!$K$3:$K$5</xm:f>
          </x14:formula1>
          <xm:sqref>S3:S57</xm:sqref>
        </x14:dataValidation>
        <x14:dataValidation type="list" allowBlank="1" showInputMessage="1" showErrorMessage="1" xr:uid="{0514EFB4-C083-4083-9C84-0B5134CC7929}">
          <x14:formula1>
            <xm:f>CONTRATTO!$B$4:$B$15</xm:f>
          </x14:formula1>
          <xm:sqref>N3:N57</xm:sqref>
        </x14:dataValidation>
        <x14:dataValidation type="list" allowBlank="1" showInputMessage="1" showErrorMessage="1" xr:uid="{63B3BBDE-AAF2-4068-8B37-2E0743EC7077}">
          <x14:formula1>
            <xm:f>TABELLE!$C$31:$C$75</xm:f>
          </x14:formula1>
          <xm:sqref>I3:I57</xm:sqref>
        </x14:dataValidation>
        <x14:dataValidation type="list" allowBlank="1" showInputMessage="1" showErrorMessage="1" xr:uid="{BEB24E42-26D9-4367-A642-4F5121E00B29}">
          <x14:formula1>
            <xm:f>TABELLE!$J$3:$J$23</xm:f>
          </x14:formula1>
          <xm:sqref>C3:C57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8855-D9C9-40F8-9FFB-B7C950CD2FB6}">
  <sheetPr codeName="Foglio7"/>
  <dimension ref="A1:V34"/>
  <sheetViews>
    <sheetView topLeftCell="F1" zoomScale="85" zoomScaleNormal="85" workbookViewId="0">
      <selection activeCell="Q3" sqref="Q3"/>
    </sheetView>
  </sheetViews>
  <sheetFormatPr baseColWidth="10" defaultColWidth="12.5" defaultRowHeight="15" x14ac:dyDescent="0.2"/>
  <cols>
    <col min="1" max="1" width="22.5" style="143" customWidth="1"/>
    <col min="2" max="2" width="12.5" style="143"/>
    <col min="3" max="3" width="19" style="143" customWidth="1"/>
    <col min="4" max="4" width="8" style="143" customWidth="1"/>
    <col min="5" max="5" width="13.5" style="143" customWidth="1"/>
    <col min="6" max="6" width="10.5" style="143" customWidth="1"/>
    <col min="7" max="7" width="14" style="143" customWidth="1"/>
    <col min="8" max="8" width="11.83203125" style="143" customWidth="1"/>
    <col min="9" max="9" width="12.5" style="143" bestFit="1" customWidth="1"/>
    <col min="10" max="10" width="12.5" style="143" customWidth="1"/>
    <col min="11" max="11" width="12.5" style="143" hidden="1" customWidth="1"/>
    <col min="12" max="12" width="12.5" style="143"/>
    <col min="13" max="13" width="17.5" style="143" customWidth="1"/>
    <col min="14" max="14" width="19.5" style="143" customWidth="1"/>
    <col min="15" max="15" width="19.6640625" style="143" customWidth="1"/>
    <col min="16" max="16" width="22.5" style="143" customWidth="1"/>
    <col min="17" max="17" width="19.5" style="143" customWidth="1"/>
    <col min="18" max="18" width="19.1640625" style="143" customWidth="1"/>
    <col min="19" max="19" width="18.5" style="143" customWidth="1"/>
    <col min="20" max="20" width="24.6640625" style="143" customWidth="1"/>
    <col min="21" max="21" width="11.33203125" style="159" hidden="1" customWidth="1"/>
    <col min="22" max="22" width="0" style="159" hidden="1" customWidth="1"/>
    <col min="23" max="16384" width="12.5" style="143"/>
  </cols>
  <sheetData>
    <row r="1" spans="1:22" ht="17" thickBot="1" x14ac:dyDescent="0.25">
      <c r="A1" s="142" t="s">
        <v>1</v>
      </c>
      <c r="B1" s="142" t="s">
        <v>21</v>
      </c>
      <c r="C1" s="142" t="s">
        <v>644</v>
      </c>
      <c r="D1" s="423" t="s">
        <v>684</v>
      </c>
      <c r="E1" s="423" t="s">
        <v>755</v>
      </c>
      <c r="F1" s="423" t="s">
        <v>90</v>
      </c>
      <c r="G1" s="423" t="s">
        <v>646</v>
      </c>
      <c r="H1" s="423" t="s">
        <v>633</v>
      </c>
      <c r="I1" s="142" t="s">
        <v>634</v>
      </c>
      <c r="J1" s="142" t="s">
        <v>635</v>
      </c>
      <c r="K1" s="142" t="s">
        <v>269</v>
      </c>
      <c r="L1" s="142" t="s">
        <v>91</v>
      </c>
      <c r="M1" s="142" t="s">
        <v>636</v>
      </c>
      <c r="N1" s="423" t="s">
        <v>637</v>
      </c>
      <c r="O1" s="423" t="s">
        <v>638</v>
      </c>
      <c r="P1" s="142" t="s">
        <v>639</v>
      </c>
      <c r="Q1" s="142" t="s">
        <v>640</v>
      </c>
      <c r="R1" s="142" t="s">
        <v>641</v>
      </c>
      <c r="S1" s="142" t="s">
        <v>642</v>
      </c>
      <c r="T1" s="423" t="s">
        <v>643</v>
      </c>
      <c r="U1" s="161" t="s">
        <v>645</v>
      </c>
      <c r="V1" s="157" t="s">
        <v>686</v>
      </c>
    </row>
    <row r="2" spans="1:22" x14ac:dyDescent="0.2">
      <c r="A2" s="147" t="s">
        <v>936</v>
      </c>
      <c r="B2" s="156">
        <v>4100689952</v>
      </c>
      <c r="C2" s="156">
        <v>2026</v>
      </c>
      <c r="D2" s="156" t="str">
        <f>IF(ORDINI[[#This Row],[BC]]&lt;&gt;0,VLOOKUP(ORDINI[[#This Row],[BC]],CONTRATTO!$B$20:$F$60,2,FALSE),"")</f>
        <v>BASE</v>
      </c>
      <c r="E2" s="402">
        <f>IF(ORDINI[[#This Row],[BC]]&lt;&gt;0,VLOOKUP(ORDINI[[#This Row],[Listino]],CONTRATTO!$B$4:$F$15,5),"")</f>
        <v>0</v>
      </c>
      <c r="F2" s="144">
        <f>IF(ORDINI[[#This Row],[BC]]&lt;&gt;0,VLOOKUP(ORDINI[[#This Row],[BC]],CONTRATTO!$B$20:$F$60,3,FALSE),"")</f>
        <v>46091</v>
      </c>
      <c r="G2" s="156" t="str">
        <f>IF(ORDINI[[#This Row],[BC]]&lt;&gt;0,VLOOKUP(ORDINI[[#This Row],[BC]],CONTRATTO!$B$20:$F$60,4,FALSE),"")</f>
        <v>2026_1342</v>
      </c>
      <c r="H2" s="145" t="str">
        <f>IF(ORDINI[[#This Row],[BC]]&lt;&gt;0,VLOOKUP(ORDINI[[#This Row],[BC]],CONTRATTO!$B$20:$F$60,5,FALSE),"")</f>
        <v>1000262408</v>
      </c>
      <c r="I2" s="146">
        <v>10</v>
      </c>
      <c r="J2" s="462" t="s">
        <v>120</v>
      </c>
      <c r="L2" s="143" t="s">
        <v>10</v>
      </c>
      <c r="M2" s="148">
        <v>6</v>
      </c>
      <c r="N2" s="149">
        <f>IF(ORDINI[[#This Row],[TOW]]&lt;&gt;0,VLOOKUP(ORDINI[[#This Row],[TOW]],CONTRATTO!$B$71:$D$76,3)*(1-ORDINI[[#This Row],[% sconto]]),"")</f>
        <v>6443</v>
      </c>
      <c r="O2" s="149">
        <f>IF(ORDINI[[#This Row],[Quantità]]&gt;0,ORDINI[[#This Row],[Quantità]]*ORDINI[[#This Row],[Prezzo Netto]],"")</f>
        <v>38658</v>
      </c>
      <c r="P2" s="149">
        <v>19329</v>
      </c>
      <c r="Q2" s="555" t="s">
        <v>1020</v>
      </c>
      <c r="R2" s="151">
        <v>46141</v>
      </c>
      <c r="S2" s="149">
        <v>19329</v>
      </c>
      <c r="T2" s="149">
        <f>IF(M2&gt;0,ORDINI[[#This Row],[Valore Posizione]]-ORDINI[[#This Row],[Totale Fatturato]],"")</f>
        <v>19329</v>
      </c>
      <c r="U2" s="162" t="s">
        <v>45</v>
      </c>
      <c r="V2" s="158">
        <v>1</v>
      </c>
    </row>
    <row r="3" spans="1:22" x14ac:dyDescent="0.2">
      <c r="A3" s="147"/>
      <c r="B3" s="156"/>
      <c r="D3" s="156" t="str">
        <f>IF(ORDINI[[#This Row],[BC]]&lt;&gt;0,VLOOKUP(ORDINI[[#This Row],[BC]],CONTRATTO!$B$20:$F$60,2,FALSE),"")</f>
        <v/>
      </c>
      <c r="E3" s="402" t="str">
        <f>IF(ORDINI[[#This Row],[BC]]&lt;&gt;0,VLOOKUP(ORDINI[[#This Row],[Listino]],CONTRATTO!$B$4:$F$15,5),"")</f>
        <v/>
      </c>
      <c r="F3" s="144" t="str">
        <f>IF(ORDINI[[#This Row],[BC]]&lt;&gt;0,VLOOKUP(ORDINI[[#This Row],[BC]],CONTRATTO!$B$20:$F$60,3,FALSE),"")</f>
        <v/>
      </c>
      <c r="G3" s="156" t="str">
        <f>IF(ORDINI[[#This Row],[BC]]&lt;&gt;0,VLOOKUP(ORDINI[[#This Row],[BC]],CONTRATTO!$B$20:$F$60,4,FALSE),"")</f>
        <v/>
      </c>
      <c r="H3" s="145" t="str">
        <f>IF(ORDINI[[#This Row],[BC]]&lt;&gt;0,VLOOKUP(ORDINI[[#This Row],[BC]],CONTRATTO!$B$20:$F$60,5,FALSE),"")</f>
        <v/>
      </c>
      <c r="I3" s="146"/>
      <c r="J3" s="146"/>
      <c r="M3" s="148"/>
      <c r="N3" s="149" t="str">
        <f>IF(ORDINI[[#This Row],[TOW]]&lt;&gt;0,VLOOKUP(ORDINI[[#This Row],[TOW]],CONTRATTO!$B$71:$D$76,3)*(1-ORDINI[[#This Row],[% sconto]]),"")</f>
        <v/>
      </c>
      <c r="O3" s="149" t="str">
        <f>IF(ORDINI[[#This Row],[Quantità]]&gt;0,ORDINI[[#This Row],[Quantità]]*ORDINI[[#This Row],[Prezzo Netto]],"")</f>
        <v/>
      </c>
      <c r="P3" s="149"/>
      <c r="Q3" s="150"/>
      <c r="R3" s="151"/>
      <c r="S3" s="149"/>
      <c r="T3" s="149" t="str">
        <f>IF(M3&gt;0,ORDINI[[#This Row],[Valore Posizione]]-ORDINI[[#This Row],[Totale Fatturato]],"")</f>
        <v/>
      </c>
      <c r="U3" s="163" t="s">
        <v>45</v>
      </c>
      <c r="V3" s="159">
        <v>1</v>
      </c>
    </row>
    <row r="4" spans="1:22" x14ac:dyDescent="0.2">
      <c r="A4" s="147"/>
      <c r="B4" s="156"/>
      <c r="D4" s="156" t="str">
        <f>IF(ORDINI[[#This Row],[BC]]&lt;&gt;0,VLOOKUP(ORDINI[[#This Row],[BC]],CONTRATTO!$B$20:$F$60,2,FALSE),"")</f>
        <v/>
      </c>
      <c r="E4" s="402" t="str">
        <f>IF(ORDINI[[#This Row],[BC]]&lt;&gt;0,VLOOKUP(ORDINI[[#This Row],[Listino]],CONTRATTO!$B$4:$F$15,5),"")</f>
        <v/>
      </c>
      <c r="F4" s="144" t="str">
        <f>IF(ORDINI[[#This Row],[BC]]&lt;&gt;0,VLOOKUP(ORDINI[[#This Row],[BC]],CONTRATTO!$B$20:$F$60,3,FALSE),"")</f>
        <v/>
      </c>
      <c r="G4" s="156" t="str">
        <f>IF(ORDINI[[#This Row],[BC]]&lt;&gt;0,VLOOKUP(ORDINI[[#This Row],[BC]],CONTRATTO!$B$20:$F$60,4,FALSE),"")</f>
        <v/>
      </c>
      <c r="H4" s="145" t="str">
        <f>IF(ORDINI[[#This Row],[BC]]&lt;&gt;0,VLOOKUP(ORDINI[[#This Row],[BC]],CONTRATTO!$B$20:$F$60,5,FALSE),"")</f>
        <v/>
      </c>
      <c r="I4" s="146"/>
      <c r="J4" s="146"/>
      <c r="M4" s="147"/>
      <c r="N4" s="149" t="str">
        <f>IF(ORDINI[[#This Row],[TOW]]&lt;&gt;0,VLOOKUP(ORDINI[[#This Row],[TOW]],CONTRATTO!$B$71:$D$76,3)*(1-ORDINI[[#This Row],[% sconto]]),"")</f>
        <v/>
      </c>
      <c r="O4" s="149" t="str">
        <f>IF(ORDINI[[#This Row],[Quantità]]&gt;0,ORDINI[[#This Row],[Quantità]]*ORDINI[[#This Row],[Prezzo Netto]],"")</f>
        <v/>
      </c>
      <c r="P4" s="149"/>
      <c r="Q4" s="150"/>
      <c r="R4" s="151"/>
      <c r="S4" s="149"/>
      <c r="T4" s="149" t="str">
        <f>IF(M4&gt;0,ORDINI[[#This Row],[Valore Posizione]]-ORDINI[[#This Row],[Totale Fatturato]],"")</f>
        <v/>
      </c>
      <c r="U4" s="163"/>
      <c r="V4" s="159">
        <v>1</v>
      </c>
    </row>
    <row r="5" spans="1:22" x14ac:dyDescent="0.2">
      <c r="A5" s="147"/>
      <c r="B5" s="156"/>
      <c r="D5" s="156" t="str">
        <f>IF(ORDINI[[#This Row],[BC]]&lt;&gt;0,VLOOKUP(ORDINI[[#This Row],[BC]],CONTRATTO!$B$20:$F$60,2,FALSE),"")</f>
        <v/>
      </c>
      <c r="E5" s="402" t="str">
        <f>IF(ORDINI[[#This Row],[BC]]&lt;&gt;0,VLOOKUP(ORDINI[[#This Row],[Listino]],CONTRATTO!$B$4:$F$15,5),"")</f>
        <v/>
      </c>
      <c r="F5" s="144" t="str">
        <f>IF(ORDINI[[#This Row],[BC]]&lt;&gt;0,VLOOKUP(ORDINI[[#This Row],[BC]],CONTRATTO!$B$20:$F$60,3,FALSE),"")</f>
        <v/>
      </c>
      <c r="G5" s="156" t="str">
        <f>IF(ORDINI[[#This Row],[BC]]&lt;&gt;0,VLOOKUP(ORDINI[[#This Row],[BC]],CONTRATTO!$B$20:$F$60,4,FALSE),"")</f>
        <v/>
      </c>
      <c r="H5" s="145" t="str">
        <f>IF(ORDINI[[#This Row],[BC]]&lt;&gt;0,VLOOKUP(ORDINI[[#This Row],[BC]],CONTRATTO!$B$20:$F$60,5,FALSE),"")</f>
        <v/>
      </c>
      <c r="I5" s="146"/>
      <c r="J5" s="146"/>
      <c r="M5" s="148"/>
      <c r="N5" s="149" t="str">
        <f>IF(ORDINI[[#This Row],[TOW]]&lt;&gt;0,VLOOKUP(ORDINI[[#This Row],[TOW]],CONTRATTO!$B$71:$D$76,3)*(1-ORDINI[[#This Row],[% sconto]]),"")</f>
        <v/>
      </c>
      <c r="O5" s="149" t="str">
        <f>IF(ORDINI[[#This Row],[Quantità]]&gt;0,ORDINI[[#This Row],[Quantità]]*ORDINI[[#This Row],[Prezzo Netto]],"")</f>
        <v/>
      </c>
      <c r="P5" s="149"/>
      <c r="Q5" s="150"/>
      <c r="R5" s="151"/>
      <c r="S5" s="149"/>
      <c r="T5" s="149" t="str">
        <f>IF(M5&gt;0,ORDINI[[#This Row],[Valore Posizione]]-ORDINI[[#This Row],[Totale Fatturato]],"")</f>
        <v/>
      </c>
      <c r="U5" s="163"/>
      <c r="V5" s="159">
        <v>1</v>
      </c>
    </row>
    <row r="6" spans="1:22" x14ac:dyDescent="0.2">
      <c r="A6" s="147"/>
      <c r="B6" s="156"/>
      <c r="D6" s="156" t="str">
        <f>IF(ORDINI[[#This Row],[BC]]&lt;&gt;0,VLOOKUP(ORDINI[[#This Row],[BC]],CONTRATTO!$B$20:$F$60,2,FALSE),"")</f>
        <v/>
      </c>
      <c r="E6" s="402" t="str">
        <f>IF(ORDINI[[#This Row],[BC]]&lt;&gt;0,VLOOKUP(ORDINI[[#This Row],[Listino]],CONTRATTO!$B$4:$F$15,5),"")</f>
        <v/>
      </c>
      <c r="F6" s="144" t="str">
        <f>IF(ORDINI[[#This Row],[BC]]&lt;&gt;0,VLOOKUP(ORDINI[[#This Row],[BC]],CONTRATTO!$B$20:$F$60,3,FALSE),"")</f>
        <v/>
      </c>
      <c r="G6" s="156" t="str">
        <f>IF(ORDINI[[#This Row],[BC]]&lt;&gt;0,VLOOKUP(ORDINI[[#This Row],[BC]],CONTRATTO!$B$20:$F$60,4,FALSE),"")</f>
        <v/>
      </c>
      <c r="H6" s="145" t="str">
        <f>IF(ORDINI[[#This Row],[BC]]&lt;&gt;0,VLOOKUP(ORDINI[[#This Row],[BC]],CONTRATTO!$B$20:$F$60,5,FALSE),"")</f>
        <v/>
      </c>
      <c r="I6" s="146"/>
      <c r="J6" s="146"/>
      <c r="M6" s="148"/>
      <c r="N6" s="149" t="str">
        <f>IF(ORDINI[[#This Row],[TOW]]&lt;&gt;0,VLOOKUP(ORDINI[[#This Row],[TOW]],CONTRATTO!$B$71:$D$76,3)*(1-ORDINI[[#This Row],[% sconto]]),"")</f>
        <v/>
      </c>
      <c r="O6" s="149" t="str">
        <f>IF(ORDINI[[#This Row],[Quantità]]&gt;0,ORDINI[[#This Row],[Quantità]]*ORDINI[[#This Row],[Prezzo Netto]],"")</f>
        <v/>
      </c>
      <c r="P6" s="149"/>
      <c r="Q6" s="150"/>
      <c r="R6" s="151"/>
      <c r="S6" s="149"/>
      <c r="T6" s="149" t="str">
        <f>IF(M6&gt;0,ORDINI[[#This Row],[Valore Posizione]]-ORDINI[[#This Row],[Totale Fatturato]],"")</f>
        <v/>
      </c>
      <c r="U6" s="163"/>
      <c r="V6" s="159">
        <v>1</v>
      </c>
    </row>
    <row r="7" spans="1:22" x14ac:dyDescent="0.2">
      <c r="A7" s="147"/>
      <c r="B7" s="156"/>
      <c r="D7" s="156" t="str">
        <f>IF(ORDINI[[#This Row],[BC]]&lt;&gt;0,VLOOKUP(ORDINI[[#This Row],[BC]],CONTRATTO!$B$20:$F$60,2,FALSE),"")</f>
        <v/>
      </c>
      <c r="E7" s="402" t="str">
        <f>IF(ORDINI[[#This Row],[BC]]&lt;&gt;0,VLOOKUP(ORDINI[[#This Row],[Listino]],CONTRATTO!$B$4:$F$15,5),"")</f>
        <v/>
      </c>
      <c r="F7" s="144" t="str">
        <f>IF(ORDINI[[#This Row],[BC]]&lt;&gt;0,VLOOKUP(ORDINI[[#This Row],[BC]],CONTRATTO!$B$20:$F$60,3,FALSE),"")</f>
        <v/>
      </c>
      <c r="G7" s="156" t="str">
        <f>IF(ORDINI[[#This Row],[BC]]&lt;&gt;0,VLOOKUP(ORDINI[[#This Row],[BC]],CONTRATTO!$B$20:$F$60,4,FALSE),"")</f>
        <v/>
      </c>
      <c r="H7" s="145" t="str">
        <f>IF(ORDINI[[#This Row],[BC]]&lt;&gt;0,VLOOKUP(ORDINI[[#This Row],[BC]],CONTRATTO!$B$20:$F$60,5,FALSE),"")</f>
        <v/>
      </c>
      <c r="I7" s="146"/>
      <c r="J7" s="146"/>
      <c r="M7" s="148"/>
      <c r="N7" s="149" t="str">
        <f>IF(ORDINI[[#This Row],[TOW]]&lt;&gt;0,VLOOKUP(ORDINI[[#This Row],[TOW]],CONTRATTO!$B$71:$D$76,3)*(1-ORDINI[[#This Row],[% sconto]]),"")</f>
        <v/>
      </c>
      <c r="O7" s="149" t="str">
        <f>IF(ORDINI[[#This Row],[Quantità]]&gt;0,ORDINI[[#This Row],[Quantità]]*ORDINI[[#This Row],[Prezzo Netto]],"")</f>
        <v/>
      </c>
      <c r="P7" s="149"/>
      <c r="Q7" s="150"/>
      <c r="R7" s="151"/>
      <c r="S7" s="149"/>
      <c r="T7" s="149" t="str">
        <f>IF(M7&gt;0,ORDINI[[#This Row],[Valore Posizione]]-ORDINI[[#This Row],[Totale Fatturato]],"")</f>
        <v/>
      </c>
      <c r="U7" s="163"/>
      <c r="V7" s="159">
        <v>1</v>
      </c>
    </row>
    <row r="8" spans="1:22" x14ac:dyDescent="0.2">
      <c r="A8" s="147"/>
      <c r="B8" s="156"/>
      <c r="D8" s="156" t="str">
        <f>IF(ORDINI[[#This Row],[BC]]&lt;&gt;0,VLOOKUP(ORDINI[[#This Row],[BC]],CONTRATTO!$B$20:$F$60,2,FALSE),"")</f>
        <v/>
      </c>
      <c r="E8" s="402" t="str">
        <f>IF(ORDINI[[#This Row],[BC]]&lt;&gt;0,VLOOKUP(ORDINI[[#This Row],[Listino]],CONTRATTO!$B$4:$F$15,5),"")</f>
        <v/>
      </c>
      <c r="F8" s="144" t="str">
        <f>IF(ORDINI[[#This Row],[BC]]&lt;&gt;0,VLOOKUP(ORDINI[[#This Row],[BC]],CONTRATTO!$B$20:$F$60,3,FALSE),"")</f>
        <v/>
      </c>
      <c r="G8" s="156" t="str">
        <f>IF(ORDINI[[#This Row],[BC]]&lt;&gt;0,VLOOKUP(ORDINI[[#This Row],[BC]],CONTRATTO!$B$20:$F$60,4,FALSE),"")</f>
        <v/>
      </c>
      <c r="H8" s="145" t="str">
        <f>IF(ORDINI[[#This Row],[BC]]&lt;&gt;0,VLOOKUP(ORDINI[[#This Row],[BC]],CONTRATTO!$B$20:$F$60,5,FALSE),"")</f>
        <v/>
      </c>
      <c r="I8" s="146"/>
      <c r="J8" s="146"/>
      <c r="M8" s="148"/>
      <c r="N8" s="149" t="str">
        <f>IF(ORDINI[[#This Row],[TOW]]&lt;&gt;0,VLOOKUP(ORDINI[[#This Row],[TOW]],CONTRATTO!$B$71:$D$76,3)*(1-ORDINI[[#This Row],[% sconto]]),"")</f>
        <v/>
      </c>
      <c r="O8" s="149" t="str">
        <f>IF(ORDINI[[#This Row],[Quantità]]&gt;0,ORDINI[[#This Row],[Quantità]]*ORDINI[[#This Row],[Prezzo Netto]],"")</f>
        <v/>
      </c>
      <c r="P8" s="149"/>
      <c r="Q8" s="150"/>
      <c r="R8" s="151"/>
      <c r="S8" s="149"/>
      <c r="T8" s="149" t="str">
        <f>IF(M8&gt;0,ORDINI[[#This Row],[Valore Posizione]]-ORDINI[[#This Row],[Totale Fatturato]],"")</f>
        <v/>
      </c>
      <c r="U8" s="163"/>
      <c r="V8" s="159">
        <v>1</v>
      </c>
    </row>
    <row r="9" spans="1:22" x14ac:dyDescent="0.2">
      <c r="A9" s="147"/>
      <c r="B9" s="156"/>
      <c r="D9" s="156" t="str">
        <f>IF(ORDINI[[#This Row],[BC]]&lt;&gt;0,VLOOKUP(ORDINI[[#This Row],[BC]],CONTRATTO!$B$20:$F$60,2,FALSE),"")</f>
        <v/>
      </c>
      <c r="E9" s="402" t="str">
        <f>IF(ORDINI[[#This Row],[BC]]&lt;&gt;0,VLOOKUP(ORDINI[[#This Row],[Listino]],CONTRATTO!$B$4:$F$15,5),"")</f>
        <v/>
      </c>
      <c r="F9" s="144" t="str">
        <f>IF(ORDINI[[#This Row],[BC]]&lt;&gt;0,VLOOKUP(ORDINI[[#This Row],[BC]],CONTRATTO!$B$20:$F$60,3,FALSE),"")</f>
        <v/>
      </c>
      <c r="G9" s="156" t="str">
        <f>IF(ORDINI[[#This Row],[BC]]&lt;&gt;0,VLOOKUP(ORDINI[[#This Row],[BC]],CONTRATTO!$B$20:$F$60,4,FALSE),"")</f>
        <v/>
      </c>
      <c r="H9" s="145" t="str">
        <f>IF(ORDINI[[#This Row],[BC]]&lt;&gt;0,VLOOKUP(ORDINI[[#This Row],[BC]],CONTRATTO!$B$20:$F$60,5,FALSE),"")</f>
        <v/>
      </c>
      <c r="I9" s="146"/>
      <c r="J9" s="146"/>
      <c r="M9" s="148"/>
      <c r="N9" s="149" t="str">
        <f>IF(ORDINI[[#This Row],[TOW]]&lt;&gt;0,VLOOKUP(ORDINI[[#This Row],[TOW]],CONTRATTO!$B$71:$D$76,3)*(1-ORDINI[[#This Row],[% sconto]]),"")</f>
        <v/>
      </c>
      <c r="O9" s="149" t="str">
        <f>IF(ORDINI[[#This Row],[Quantità]]&gt;0,ORDINI[[#This Row],[Quantità]]*ORDINI[[#This Row],[Prezzo Netto]],"")</f>
        <v/>
      </c>
      <c r="P9" s="149"/>
      <c r="Q9" s="150"/>
      <c r="R9" s="151"/>
      <c r="S9" s="149"/>
      <c r="T9" s="149" t="str">
        <f>IF(M9&gt;0,ORDINI[[#This Row],[Valore Posizione]]-ORDINI[[#This Row],[Totale Fatturato]],"")</f>
        <v/>
      </c>
      <c r="U9" s="163"/>
      <c r="V9" s="159">
        <v>1</v>
      </c>
    </row>
    <row r="10" spans="1:22" x14ac:dyDescent="0.2">
      <c r="A10" s="147"/>
      <c r="B10" s="156"/>
      <c r="D10" s="156" t="str">
        <f>IF(ORDINI[[#This Row],[BC]]&lt;&gt;0,VLOOKUP(ORDINI[[#This Row],[BC]],CONTRATTO!$B$20:$F$60,2,FALSE),"")</f>
        <v/>
      </c>
      <c r="E10" s="402" t="str">
        <f>IF(ORDINI[[#This Row],[BC]]&lt;&gt;0,VLOOKUP(ORDINI[[#This Row],[Listino]],CONTRATTO!$B$4:$F$15,5),"")</f>
        <v/>
      </c>
      <c r="F10" s="144" t="str">
        <f>IF(ORDINI[[#This Row],[BC]]&lt;&gt;0,VLOOKUP(ORDINI[[#This Row],[BC]],CONTRATTO!$B$20:$F$60,3,FALSE),"")</f>
        <v/>
      </c>
      <c r="G10" s="156" t="str">
        <f>IF(ORDINI[[#This Row],[BC]]&lt;&gt;0,VLOOKUP(ORDINI[[#This Row],[BC]],CONTRATTO!$B$20:$F$60,4,FALSE),"")</f>
        <v/>
      </c>
      <c r="H10" s="145" t="str">
        <f>IF(ORDINI[[#This Row],[BC]]&lt;&gt;0,VLOOKUP(ORDINI[[#This Row],[BC]],CONTRATTO!$B$20:$F$60,5,FALSE),"")</f>
        <v/>
      </c>
      <c r="I10" s="146"/>
      <c r="J10" s="146"/>
      <c r="M10" s="148"/>
      <c r="N10" s="149" t="str">
        <f>IF(ORDINI[[#This Row],[TOW]]&lt;&gt;0,VLOOKUP(ORDINI[[#This Row],[TOW]],CONTRATTO!$B$71:$D$76,3)*(1-ORDINI[[#This Row],[% sconto]]),"")</f>
        <v/>
      </c>
      <c r="O10" s="149" t="str">
        <f>IF(ORDINI[[#This Row],[Quantità]]&gt;0,ORDINI[[#This Row],[Quantità]]*ORDINI[[#This Row],[Prezzo Netto]],"")</f>
        <v/>
      </c>
      <c r="P10" s="149"/>
      <c r="Q10" s="150"/>
      <c r="R10" s="151"/>
      <c r="S10" s="149"/>
      <c r="T10" s="149" t="str">
        <f>IF(M10&gt;0,ORDINI[[#This Row],[Valore Posizione]]-ORDINI[[#This Row],[Totale Fatturato]],"")</f>
        <v/>
      </c>
      <c r="U10" s="163"/>
      <c r="V10" s="159">
        <v>1</v>
      </c>
    </row>
    <row r="11" spans="1:22" x14ac:dyDescent="0.2">
      <c r="A11" s="147"/>
      <c r="B11" s="156"/>
      <c r="D11" s="156" t="str">
        <f>IF(ORDINI[[#This Row],[BC]]&lt;&gt;0,VLOOKUP(ORDINI[[#This Row],[BC]],CONTRATTO!$B$20:$F$60,2,FALSE),"")</f>
        <v/>
      </c>
      <c r="E11" s="402" t="str">
        <f>IF(ORDINI[[#This Row],[BC]]&lt;&gt;0,VLOOKUP(ORDINI[[#This Row],[Listino]],CONTRATTO!$B$4:$F$15,5),"")</f>
        <v/>
      </c>
      <c r="F11" s="144" t="str">
        <f>IF(ORDINI[[#This Row],[BC]]&lt;&gt;0,VLOOKUP(ORDINI[[#This Row],[BC]],CONTRATTO!$B$20:$F$60,3,FALSE),"")</f>
        <v/>
      </c>
      <c r="G11" s="156" t="str">
        <f>IF(ORDINI[[#This Row],[BC]]&lt;&gt;0,VLOOKUP(ORDINI[[#This Row],[BC]],CONTRATTO!$B$20:$F$60,4,FALSE),"")</f>
        <v/>
      </c>
      <c r="H11" s="145" t="str">
        <f>IF(ORDINI[[#This Row],[BC]]&lt;&gt;0,VLOOKUP(ORDINI[[#This Row],[BC]],CONTRATTO!$B$20:$F$60,5,FALSE),"")</f>
        <v/>
      </c>
      <c r="I11" s="146"/>
      <c r="J11" s="146"/>
      <c r="M11" s="148"/>
      <c r="N11" s="149" t="str">
        <f>IF(ORDINI[[#This Row],[TOW]]&lt;&gt;0,VLOOKUP(ORDINI[[#This Row],[TOW]],CONTRATTO!$B$71:$D$76,3)*(1-ORDINI[[#This Row],[% sconto]]),"")</f>
        <v/>
      </c>
      <c r="O11" s="149" t="str">
        <f>IF(ORDINI[[#This Row],[Quantità]]&gt;0,ORDINI[[#This Row],[Quantità]]*ORDINI[[#This Row],[Prezzo Netto]],"")</f>
        <v/>
      </c>
      <c r="P11" s="149"/>
      <c r="Q11" s="150"/>
      <c r="R11" s="151"/>
      <c r="S11" s="149"/>
      <c r="T11" s="149" t="str">
        <f>IF(M11&gt;0,ORDINI[[#This Row],[Valore Posizione]]-ORDINI[[#This Row],[Totale Fatturato]],"")</f>
        <v/>
      </c>
      <c r="U11" s="163"/>
      <c r="V11" s="159">
        <v>1</v>
      </c>
    </row>
    <row r="12" spans="1:22" ht="16.25" customHeight="1" x14ac:dyDescent="0.2">
      <c r="A12" s="147"/>
      <c r="B12" s="156"/>
      <c r="D12" s="156" t="str">
        <f>IF(ORDINI[[#This Row],[BC]]&lt;&gt;0,VLOOKUP(ORDINI[[#This Row],[BC]],CONTRATTO!$B$20:$F$60,2,FALSE),"")</f>
        <v/>
      </c>
      <c r="E12" s="402" t="str">
        <f>IF(ORDINI[[#This Row],[BC]]&lt;&gt;0,VLOOKUP(ORDINI[[#This Row],[Listino]],CONTRATTO!$B$4:$F$15,5),"")</f>
        <v/>
      </c>
      <c r="F12" s="144" t="str">
        <f>IF(ORDINI[[#This Row],[BC]]&lt;&gt;0,VLOOKUP(ORDINI[[#This Row],[BC]],CONTRATTO!$B$20:$F$60,3,FALSE),"")</f>
        <v/>
      </c>
      <c r="G12" s="156" t="str">
        <f>IF(ORDINI[[#This Row],[BC]]&lt;&gt;0,VLOOKUP(ORDINI[[#This Row],[BC]],CONTRATTO!$B$20:$F$60,4,FALSE),"")</f>
        <v/>
      </c>
      <c r="H12" s="145" t="str">
        <f>IF(ORDINI[[#This Row],[BC]]&lt;&gt;0,VLOOKUP(ORDINI[[#This Row],[BC]],CONTRATTO!$B$20:$F$60,5,FALSE),"")</f>
        <v/>
      </c>
      <c r="I12" s="146"/>
      <c r="J12" s="146"/>
      <c r="M12" s="148"/>
      <c r="N12" s="149" t="str">
        <f>IF(ORDINI[[#This Row],[TOW]]&lt;&gt;0,VLOOKUP(ORDINI[[#This Row],[TOW]],CONTRATTO!$B$71:$D$76,3)*(1-ORDINI[[#This Row],[% sconto]]),"")</f>
        <v/>
      </c>
      <c r="O12" s="149" t="str">
        <f>IF(ORDINI[[#This Row],[Quantità]]&gt;0,ORDINI[[#This Row],[Quantità]]*ORDINI[[#This Row],[Prezzo Netto]],"")</f>
        <v/>
      </c>
      <c r="P12" s="149"/>
      <c r="Q12" s="150"/>
      <c r="R12" s="151"/>
      <c r="S12" s="149"/>
      <c r="T12" s="149" t="str">
        <f>IF(M12&gt;0,ORDINI[[#This Row],[Valore Posizione]]-ORDINI[[#This Row],[Totale Fatturato]],"")</f>
        <v/>
      </c>
      <c r="U12" s="163" t="s">
        <v>45</v>
      </c>
      <c r="V12" s="159">
        <v>1</v>
      </c>
    </row>
    <row r="13" spans="1:22" x14ac:dyDescent="0.2">
      <c r="A13" s="147"/>
      <c r="B13" s="156"/>
      <c r="D13" s="156" t="str">
        <f>IF(ORDINI[[#This Row],[BC]]&lt;&gt;0,VLOOKUP(ORDINI[[#This Row],[BC]],CONTRATTO!$B$20:$F$60,2,FALSE),"")</f>
        <v/>
      </c>
      <c r="E13" s="402" t="str">
        <f>IF(ORDINI[[#This Row],[BC]]&lt;&gt;0,VLOOKUP(ORDINI[[#This Row],[Listino]],CONTRATTO!$B$4:$F$15,5),"")</f>
        <v/>
      </c>
      <c r="F13" s="144" t="str">
        <f>IF(ORDINI[[#This Row],[BC]]&lt;&gt;0,VLOOKUP(ORDINI[[#This Row],[BC]],CONTRATTO!$B$20:$F$60,3,FALSE),"")</f>
        <v/>
      </c>
      <c r="G13" s="156" t="str">
        <f>IF(ORDINI[[#This Row],[BC]]&lt;&gt;0,VLOOKUP(ORDINI[[#This Row],[BC]],CONTRATTO!$B$20:$F$60,4,FALSE),"")</f>
        <v/>
      </c>
      <c r="H13" s="145" t="str">
        <f>IF(ORDINI[[#This Row],[BC]]&lt;&gt;0,VLOOKUP(ORDINI[[#This Row],[BC]],CONTRATTO!$B$20:$F$60,5,FALSE),"")</f>
        <v/>
      </c>
      <c r="I13" s="146"/>
      <c r="J13" s="146"/>
      <c r="M13" s="148"/>
      <c r="N13" s="149" t="str">
        <f>IF(ORDINI[[#This Row],[TOW]]&lt;&gt;0,VLOOKUP(ORDINI[[#This Row],[TOW]],CONTRATTO!$B$71:$D$76,3)*(1-ORDINI[[#This Row],[% sconto]]),"")</f>
        <v/>
      </c>
      <c r="O13" s="149" t="str">
        <f>IF(ORDINI[[#This Row],[Quantità]]&gt;0,ORDINI[[#This Row],[Quantità]]*ORDINI[[#This Row],[Prezzo Netto]],"")</f>
        <v/>
      </c>
      <c r="P13" s="149"/>
      <c r="Q13" s="150"/>
      <c r="R13" s="151"/>
      <c r="S13" s="149"/>
      <c r="T13" s="149" t="str">
        <f>IF(M13&gt;0,ORDINI[[#This Row],[Valore Posizione]]-ORDINI[[#This Row],[Totale Fatturato]],"")</f>
        <v/>
      </c>
      <c r="U13" s="163"/>
      <c r="V13" s="159">
        <v>1</v>
      </c>
    </row>
    <row r="14" spans="1:22" x14ac:dyDescent="0.2">
      <c r="A14" s="147"/>
      <c r="B14" s="156"/>
      <c r="D14" s="156" t="str">
        <f>IF(ORDINI[[#This Row],[BC]]&lt;&gt;0,VLOOKUP(ORDINI[[#This Row],[BC]],CONTRATTO!$B$20:$F$60,2,FALSE),"")</f>
        <v/>
      </c>
      <c r="E14" s="402" t="str">
        <f>IF(ORDINI[[#This Row],[BC]]&lt;&gt;0,VLOOKUP(ORDINI[[#This Row],[Listino]],CONTRATTO!$B$4:$F$15,5),"")</f>
        <v/>
      </c>
      <c r="F14" s="144" t="str">
        <f>IF(ORDINI[[#This Row],[BC]]&lt;&gt;0,VLOOKUP(ORDINI[[#This Row],[BC]],CONTRATTO!$B$20:$F$60,3,FALSE),"")</f>
        <v/>
      </c>
      <c r="G14" s="156" t="str">
        <f>IF(ORDINI[[#This Row],[BC]]&lt;&gt;0,VLOOKUP(ORDINI[[#This Row],[BC]],CONTRATTO!$B$20:$F$60,4,FALSE),"")</f>
        <v/>
      </c>
      <c r="H14" s="145" t="str">
        <f>IF(ORDINI[[#This Row],[BC]]&lt;&gt;0,VLOOKUP(ORDINI[[#This Row],[BC]],CONTRATTO!$B$20:$F$60,5,FALSE),"")</f>
        <v/>
      </c>
      <c r="I14" s="146"/>
      <c r="J14" s="146"/>
      <c r="M14" s="148"/>
      <c r="N14" s="149" t="str">
        <f>IF(ORDINI[[#This Row],[TOW]]&lt;&gt;0,VLOOKUP(ORDINI[[#This Row],[TOW]],CONTRATTO!$B$71:$D$76,3)*(1-ORDINI[[#This Row],[% sconto]]),"")</f>
        <v/>
      </c>
      <c r="O14" s="149" t="str">
        <f>IF(ORDINI[[#This Row],[Quantità]]&gt;0,ORDINI[[#This Row],[Quantità]]*ORDINI[[#This Row],[Prezzo Netto]],"")</f>
        <v/>
      </c>
      <c r="P14" s="149"/>
      <c r="Q14" s="150"/>
      <c r="R14" s="151"/>
      <c r="S14" s="149"/>
      <c r="T14" s="149" t="str">
        <f>IF(M14&gt;0,ORDINI[[#This Row],[Valore Posizione]]-ORDINI[[#This Row],[Totale Fatturato]],"")</f>
        <v/>
      </c>
      <c r="U14" s="163"/>
      <c r="V14" s="159">
        <v>1</v>
      </c>
    </row>
    <row r="15" spans="1:22" x14ac:dyDescent="0.2">
      <c r="A15" s="147"/>
      <c r="B15" s="156"/>
      <c r="D15" s="156" t="str">
        <f>IF(ORDINI[[#This Row],[BC]]&lt;&gt;0,VLOOKUP(ORDINI[[#This Row],[BC]],CONTRATTO!$B$20:$F$60,2,FALSE),"")</f>
        <v/>
      </c>
      <c r="E15" s="402" t="str">
        <f>IF(ORDINI[[#This Row],[BC]]&lt;&gt;0,VLOOKUP(ORDINI[[#This Row],[Listino]],CONTRATTO!$B$4:$F$15,5),"")</f>
        <v/>
      </c>
      <c r="F15" s="144" t="str">
        <f>IF(ORDINI[[#This Row],[BC]]&lt;&gt;0,VLOOKUP(ORDINI[[#This Row],[BC]],CONTRATTO!$B$20:$F$60,3,FALSE),"")</f>
        <v/>
      </c>
      <c r="G15" s="156" t="str">
        <f>IF(ORDINI[[#This Row],[BC]]&lt;&gt;0,VLOOKUP(ORDINI[[#This Row],[BC]],CONTRATTO!$B$20:$F$60,4,FALSE),"")</f>
        <v/>
      </c>
      <c r="H15" s="145" t="str">
        <f>IF(ORDINI[[#This Row],[BC]]&lt;&gt;0,VLOOKUP(ORDINI[[#This Row],[BC]],CONTRATTO!$B$20:$F$60,5,FALSE),"")</f>
        <v/>
      </c>
      <c r="I15" s="146"/>
      <c r="J15" s="146"/>
      <c r="M15" s="148"/>
      <c r="N15" s="149" t="str">
        <f>IF(ORDINI[[#This Row],[TOW]]&lt;&gt;0,VLOOKUP(ORDINI[[#This Row],[TOW]],CONTRATTO!$B$71:$D$76,3)*(1-ORDINI[[#This Row],[% sconto]]),"")</f>
        <v/>
      </c>
      <c r="O15" s="149" t="str">
        <f>IF(ORDINI[[#This Row],[Quantità]]&gt;0,ORDINI[[#This Row],[Quantità]]*ORDINI[[#This Row],[Prezzo Netto]],"")</f>
        <v/>
      </c>
      <c r="P15" s="149"/>
      <c r="Q15" s="150"/>
      <c r="R15" s="151"/>
      <c r="S15" s="149"/>
      <c r="T15" s="149" t="str">
        <f>IF(M15&gt;0,ORDINI[[#This Row],[Valore Posizione]]-ORDINI[[#This Row],[Totale Fatturato]],"")</f>
        <v/>
      </c>
      <c r="U15" s="163"/>
      <c r="V15" s="159">
        <v>1</v>
      </c>
    </row>
    <row r="16" spans="1:22" x14ac:dyDescent="0.2">
      <c r="A16" s="147"/>
      <c r="B16" s="156"/>
      <c r="D16" s="156" t="str">
        <f>IF(ORDINI[[#This Row],[BC]]&lt;&gt;0,VLOOKUP(ORDINI[[#This Row],[BC]],CONTRATTO!$B$20:$F$60,2,FALSE),"")</f>
        <v/>
      </c>
      <c r="E16" s="402" t="str">
        <f>IF(ORDINI[[#This Row],[BC]]&lt;&gt;0,VLOOKUP(ORDINI[[#This Row],[Listino]],CONTRATTO!$B$4:$F$15,5),"")</f>
        <v/>
      </c>
      <c r="F16" s="144" t="str">
        <f>IF(ORDINI[[#This Row],[BC]]&lt;&gt;0,VLOOKUP(ORDINI[[#This Row],[BC]],CONTRATTO!$B$20:$F$60,3,FALSE),"")</f>
        <v/>
      </c>
      <c r="G16" s="156" t="str">
        <f>IF(ORDINI[[#This Row],[BC]]&lt;&gt;0,VLOOKUP(ORDINI[[#This Row],[BC]],CONTRATTO!$B$20:$F$60,4,FALSE),"")</f>
        <v/>
      </c>
      <c r="H16" s="145" t="str">
        <f>IF(ORDINI[[#This Row],[BC]]&lt;&gt;0,VLOOKUP(ORDINI[[#This Row],[BC]],CONTRATTO!$B$20:$F$60,5,FALSE),"")</f>
        <v/>
      </c>
      <c r="I16" s="146"/>
      <c r="J16" s="146"/>
      <c r="M16" s="148"/>
      <c r="N16" s="149" t="str">
        <f>IF(ORDINI[[#This Row],[TOW]]&lt;&gt;0,VLOOKUP(ORDINI[[#This Row],[TOW]],CONTRATTO!$B$71:$D$76,3)*(1-ORDINI[[#This Row],[% sconto]]),"")</f>
        <v/>
      </c>
      <c r="O16" s="149" t="str">
        <f>IF(ORDINI[[#This Row],[Quantità]]&gt;0,ORDINI[[#This Row],[Quantità]]*ORDINI[[#This Row],[Prezzo Netto]],"")</f>
        <v/>
      </c>
      <c r="P16" s="149"/>
      <c r="Q16" s="150"/>
      <c r="R16" s="151"/>
      <c r="S16" s="149"/>
      <c r="T16" s="149" t="str">
        <f>IF(M16&gt;0,ORDINI[[#This Row],[Valore Posizione]]-ORDINI[[#This Row],[Totale Fatturato]],"")</f>
        <v/>
      </c>
      <c r="U16" s="163"/>
      <c r="V16" s="159">
        <v>1</v>
      </c>
    </row>
    <row r="17" spans="1:22" x14ac:dyDescent="0.2">
      <c r="A17" s="147"/>
      <c r="B17" s="156"/>
      <c r="D17" s="156" t="str">
        <f>IF(ORDINI[[#This Row],[BC]]&lt;&gt;0,VLOOKUP(ORDINI[[#This Row],[BC]],CONTRATTO!$B$20:$F$60,2,FALSE),"")</f>
        <v/>
      </c>
      <c r="E17" s="402" t="str">
        <f>IF(ORDINI[[#This Row],[BC]]&lt;&gt;0,VLOOKUP(ORDINI[[#This Row],[Listino]],CONTRATTO!$B$4:$F$15,5),"")</f>
        <v/>
      </c>
      <c r="F17" s="144" t="str">
        <f>IF(ORDINI[[#This Row],[BC]]&lt;&gt;0,VLOOKUP(ORDINI[[#This Row],[BC]],CONTRATTO!$B$20:$F$60,3,FALSE),"")</f>
        <v/>
      </c>
      <c r="G17" s="156" t="str">
        <f>IF(ORDINI[[#This Row],[BC]]&lt;&gt;0,VLOOKUP(ORDINI[[#This Row],[BC]],CONTRATTO!$B$20:$F$60,4,FALSE),"")</f>
        <v/>
      </c>
      <c r="H17" s="145" t="str">
        <f>IF(ORDINI[[#This Row],[BC]]&lt;&gt;0,VLOOKUP(ORDINI[[#This Row],[BC]],CONTRATTO!$B$20:$F$60,5,FALSE),"")</f>
        <v/>
      </c>
      <c r="I17" s="146"/>
      <c r="J17" s="146"/>
      <c r="M17" s="148"/>
      <c r="N17" s="149" t="str">
        <f>IF(ORDINI[[#This Row],[TOW]]&lt;&gt;0,VLOOKUP(ORDINI[[#This Row],[TOW]],CONTRATTO!$B$71:$D$76,3)*(1-ORDINI[[#This Row],[% sconto]]),"")</f>
        <v/>
      </c>
      <c r="O17" s="149" t="str">
        <f>IF(ORDINI[[#This Row],[Quantità]]&gt;0,ORDINI[[#This Row],[Quantità]]*ORDINI[[#This Row],[Prezzo Netto]],"")</f>
        <v/>
      </c>
      <c r="P17" s="149"/>
      <c r="Q17" s="150"/>
      <c r="R17" s="151"/>
      <c r="S17" s="149"/>
      <c r="T17" s="149" t="str">
        <f>IF(M17&gt;0,ORDINI[[#This Row],[Valore Posizione]]-ORDINI[[#This Row],[Totale Fatturato]],"")</f>
        <v/>
      </c>
      <c r="U17" s="163"/>
      <c r="V17" s="159">
        <v>1</v>
      </c>
    </row>
    <row r="18" spans="1:22" x14ac:dyDescent="0.2">
      <c r="A18" s="147"/>
      <c r="B18" s="156"/>
      <c r="D18" s="156" t="str">
        <f>IF(ORDINI[[#This Row],[BC]]&lt;&gt;0,VLOOKUP(ORDINI[[#This Row],[BC]],CONTRATTO!$B$20:$F$60,2,FALSE),"")</f>
        <v/>
      </c>
      <c r="E18" s="402" t="str">
        <f>IF(ORDINI[[#This Row],[BC]]&lt;&gt;0,VLOOKUP(ORDINI[[#This Row],[Listino]],CONTRATTO!$B$4:$F$15,5),"")</f>
        <v/>
      </c>
      <c r="F18" s="144" t="str">
        <f>IF(ORDINI[[#This Row],[BC]]&lt;&gt;0,VLOOKUP(ORDINI[[#This Row],[BC]],CONTRATTO!$B$20:$F$60,3,FALSE),"")</f>
        <v/>
      </c>
      <c r="G18" s="156" t="str">
        <f>IF(ORDINI[[#This Row],[BC]]&lt;&gt;0,VLOOKUP(ORDINI[[#This Row],[BC]],CONTRATTO!$B$20:$F$60,4,FALSE),"")</f>
        <v/>
      </c>
      <c r="H18" s="145" t="str">
        <f>IF(ORDINI[[#This Row],[BC]]&lt;&gt;0,VLOOKUP(ORDINI[[#This Row],[BC]],CONTRATTO!$B$20:$F$60,5,FALSE),"")</f>
        <v/>
      </c>
      <c r="I18" s="146"/>
      <c r="J18" s="146"/>
      <c r="M18" s="148"/>
      <c r="N18" s="149" t="str">
        <f>IF(ORDINI[[#This Row],[TOW]]&lt;&gt;0,VLOOKUP(ORDINI[[#This Row],[TOW]],CONTRATTO!$B$71:$D$76,3)*(1-ORDINI[[#This Row],[% sconto]]),"")</f>
        <v/>
      </c>
      <c r="O18" s="149" t="str">
        <f>IF(ORDINI[[#This Row],[Quantità]]&gt;0,ORDINI[[#This Row],[Quantità]]*ORDINI[[#This Row],[Prezzo Netto]],"")</f>
        <v/>
      </c>
      <c r="P18" s="149"/>
      <c r="Q18" s="150"/>
      <c r="R18" s="151"/>
      <c r="S18" s="149"/>
      <c r="T18" s="149" t="str">
        <f>IF(M18&gt;0,ORDINI[[#This Row],[Valore Posizione]]-ORDINI[[#This Row],[Totale Fatturato]],"")</f>
        <v/>
      </c>
      <c r="U18" s="163"/>
      <c r="V18" s="159">
        <v>1</v>
      </c>
    </row>
    <row r="19" spans="1:22" x14ac:dyDescent="0.2">
      <c r="A19" s="147"/>
      <c r="B19" s="156"/>
      <c r="D19" s="156" t="str">
        <f>IF(ORDINI[[#This Row],[BC]]&lt;&gt;0,VLOOKUP(ORDINI[[#This Row],[BC]],CONTRATTO!$B$20:$F$60,2,FALSE),"")</f>
        <v/>
      </c>
      <c r="E19" s="402" t="str">
        <f>IF(ORDINI[[#This Row],[BC]]&lt;&gt;0,VLOOKUP(ORDINI[[#This Row],[Listino]],CONTRATTO!$B$4:$F$15,5),"")</f>
        <v/>
      </c>
      <c r="F19" s="144" t="str">
        <f>IF(ORDINI[[#This Row],[BC]]&lt;&gt;0,VLOOKUP(ORDINI[[#This Row],[BC]],CONTRATTO!$B$20:$F$60,3,FALSE),"")</f>
        <v/>
      </c>
      <c r="G19" s="156" t="str">
        <f>IF(ORDINI[[#This Row],[BC]]&lt;&gt;0,VLOOKUP(ORDINI[[#This Row],[BC]],CONTRATTO!$B$20:$F$60,4,FALSE),"")</f>
        <v/>
      </c>
      <c r="H19" s="145" t="str">
        <f>IF(ORDINI[[#This Row],[BC]]&lt;&gt;0,VLOOKUP(ORDINI[[#This Row],[BC]],CONTRATTO!$B$20:$F$60,5,FALSE),"")</f>
        <v/>
      </c>
      <c r="I19" s="146"/>
      <c r="J19" s="146"/>
      <c r="M19" s="148"/>
      <c r="N19" s="149" t="str">
        <f>IF(ORDINI[[#This Row],[TOW]]&lt;&gt;0,VLOOKUP(ORDINI[[#This Row],[TOW]],CONTRATTO!$B$71:$D$76,3)*(1-ORDINI[[#This Row],[% sconto]]),"")</f>
        <v/>
      </c>
      <c r="O19" s="149" t="str">
        <f>IF(ORDINI[[#This Row],[Quantità]]&gt;0,ORDINI[[#This Row],[Quantità]]*ORDINI[[#This Row],[Prezzo Netto]],"")</f>
        <v/>
      </c>
      <c r="P19" s="149"/>
      <c r="Q19" s="150"/>
      <c r="R19" s="151"/>
      <c r="S19" s="149"/>
      <c r="T19" s="149" t="str">
        <f>IF(M19&gt;0,ORDINI[[#This Row],[Valore Posizione]]-ORDINI[[#This Row],[Totale Fatturato]],"")</f>
        <v/>
      </c>
      <c r="U19" s="163"/>
      <c r="V19" s="159">
        <v>1</v>
      </c>
    </row>
    <row r="20" spans="1:22" x14ac:dyDescent="0.2">
      <c r="A20" s="147"/>
      <c r="B20" s="156"/>
      <c r="D20" s="156" t="str">
        <f>IF(ORDINI[[#This Row],[BC]]&lt;&gt;0,VLOOKUP(ORDINI[[#This Row],[BC]],CONTRATTO!$B$20:$F$60,2,FALSE),"")</f>
        <v/>
      </c>
      <c r="E20" s="402" t="str">
        <f>IF(ORDINI[[#This Row],[BC]]&lt;&gt;0,VLOOKUP(ORDINI[[#This Row],[Listino]],CONTRATTO!$B$4:$F$15,5),"")</f>
        <v/>
      </c>
      <c r="F20" s="144" t="str">
        <f>IF(ORDINI[[#This Row],[BC]]&lt;&gt;0,VLOOKUP(ORDINI[[#This Row],[BC]],CONTRATTO!$B$20:$F$60,3,FALSE),"")</f>
        <v/>
      </c>
      <c r="G20" s="156" t="str">
        <f>IF(ORDINI[[#This Row],[BC]]&lt;&gt;0,VLOOKUP(ORDINI[[#This Row],[BC]],CONTRATTO!$B$20:$F$60,4,FALSE),"")</f>
        <v/>
      </c>
      <c r="H20" s="145" t="str">
        <f>IF(ORDINI[[#This Row],[BC]]&lt;&gt;0,VLOOKUP(ORDINI[[#This Row],[BC]],CONTRATTO!$B$20:$F$60,5,FALSE),"")</f>
        <v/>
      </c>
      <c r="I20" s="146"/>
      <c r="J20" s="146"/>
      <c r="M20" s="148"/>
      <c r="N20" s="149" t="str">
        <f>IF(ORDINI[[#This Row],[TOW]]&lt;&gt;0,VLOOKUP(ORDINI[[#This Row],[TOW]],CONTRATTO!$B$71:$D$76,3)*(1-ORDINI[[#This Row],[% sconto]]),"")</f>
        <v/>
      </c>
      <c r="O20" s="149" t="str">
        <f>IF(ORDINI[[#This Row],[Quantità]]&gt;0,ORDINI[[#This Row],[Quantità]]*ORDINI[[#This Row],[Prezzo Netto]],"")</f>
        <v/>
      </c>
      <c r="P20" s="149"/>
      <c r="Q20" s="150"/>
      <c r="R20" s="151"/>
      <c r="S20" s="149"/>
      <c r="T20" s="149" t="str">
        <f>IF(M20&gt;0,ORDINI[[#This Row],[Valore Posizione]]-ORDINI[[#This Row],[Totale Fatturato]],"")</f>
        <v/>
      </c>
      <c r="U20" s="163"/>
      <c r="V20" s="159">
        <v>1</v>
      </c>
    </row>
    <row r="21" spans="1:22" x14ac:dyDescent="0.2">
      <c r="A21" s="147"/>
      <c r="B21" s="156"/>
      <c r="D21" s="156" t="str">
        <f>IF(ORDINI[[#This Row],[BC]]&lt;&gt;0,VLOOKUP(ORDINI[[#This Row],[BC]],CONTRATTO!$B$20:$F$60,2,FALSE),"")</f>
        <v/>
      </c>
      <c r="E21" s="402" t="str">
        <f>IF(ORDINI[[#This Row],[BC]]&lt;&gt;0,VLOOKUP(ORDINI[[#This Row],[Listino]],CONTRATTO!$B$4:$F$15,5),"")</f>
        <v/>
      </c>
      <c r="F21" s="144" t="str">
        <f>IF(ORDINI[[#This Row],[BC]]&lt;&gt;0,VLOOKUP(ORDINI[[#This Row],[BC]],CONTRATTO!$B$20:$F$60,3,FALSE),"")</f>
        <v/>
      </c>
      <c r="G21" s="156" t="str">
        <f>IF(ORDINI[[#This Row],[BC]]&lt;&gt;0,VLOOKUP(ORDINI[[#This Row],[BC]],CONTRATTO!$B$20:$F$60,4,FALSE),"")</f>
        <v/>
      </c>
      <c r="H21" s="145" t="str">
        <f>IF(ORDINI[[#This Row],[BC]]&lt;&gt;0,VLOOKUP(ORDINI[[#This Row],[BC]],CONTRATTO!$B$20:$F$60,5,FALSE),"")</f>
        <v/>
      </c>
      <c r="I21" s="146"/>
      <c r="J21" s="146"/>
      <c r="M21" s="148"/>
      <c r="N21" s="149" t="str">
        <f>IF(ORDINI[[#This Row],[TOW]]&lt;&gt;0,VLOOKUP(ORDINI[[#This Row],[TOW]],CONTRATTO!$B$71:$D$76,3)*(1-ORDINI[[#This Row],[% sconto]]),"")</f>
        <v/>
      </c>
      <c r="O21" s="149" t="str">
        <f>IF(ORDINI[[#This Row],[Quantità]]&gt;0,ORDINI[[#This Row],[Quantità]]*ORDINI[[#This Row],[Prezzo Netto]],"")</f>
        <v/>
      </c>
      <c r="P21" s="149"/>
      <c r="Q21" s="150"/>
      <c r="R21" s="151"/>
      <c r="S21" s="149"/>
      <c r="T21" s="149" t="str">
        <f>IF(M21&gt;0,ORDINI[[#This Row],[Valore Posizione]]-ORDINI[[#This Row],[Totale Fatturato]],"")</f>
        <v/>
      </c>
      <c r="U21" s="163"/>
    </row>
    <row r="22" spans="1:22" x14ac:dyDescent="0.2">
      <c r="A22" s="147"/>
      <c r="B22" s="156"/>
      <c r="D22" s="156" t="str">
        <f>IF(ORDINI[[#This Row],[BC]]&lt;&gt;0,VLOOKUP(ORDINI[[#This Row],[BC]],CONTRATTO!$B$20:$F$60,2,FALSE),"")</f>
        <v/>
      </c>
      <c r="E22" s="402" t="str">
        <f>IF(ORDINI[[#This Row],[BC]]&lt;&gt;0,VLOOKUP(ORDINI[[#This Row],[Listino]],CONTRATTO!$B$4:$F$15,5),"")</f>
        <v/>
      </c>
      <c r="F22" s="144" t="str">
        <f>IF(ORDINI[[#This Row],[BC]]&lt;&gt;0,VLOOKUP(ORDINI[[#This Row],[BC]],CONTRATTO!$B$20:$F$60,3,FALSE),"")</f>
        <v/>
      </c>
      <c r="G22" s="156" t="str">
        <f>IF(ORDINI[[#This Row],[BC]]&lt;&gt;0,VLOOKUP(ORDINI[[#This Row],[BC]],CONTRATTO!$B$20:$F$60,4,FALSE),"")</f>
        <v/>
      </c>
      <c r="H22" s="145" t="str">
        <f>IF(ORDINI[[#This Row],[BC]]&lt;&gt;0,VLOOKUP(ORDINI[[#This Row],[BC]],CONTRATTO!$B$20:$F$60,5,FALSE),"")</f>
        <v/>
      </c>
      <c r="I22" s="146"/>
      <c r="J22" s="146"/>
      <c r="M22" s="148"/>
      <c r="N22" s="149" t="str">
        <f>IF(ORDINI[[#This Row],[TOW]]&lt;&gt;0,VLOOKUP(ORDINI[[#This Row],[TOW]],CONTRATTO!$B$71:$D$76,3)*(1-ORDINI[[#This Row],[% sconto]]),"")</f>
        <v/>
      </c>
      <c r="O22" s="149" t="str">
        <f>IF(ORDINI[[#This Row],[Quantità]]&gt;0,ORDINI[[#This Row],[Quantità]]*ORDINI[[#This Row],[Prezzo Netto]],"")</f>
        <v/>
      </c>
      <c r="P22" s="149"/>
      <c r="Q22" s="150"/>
      <c r="R22" s="151"/>
      <c r="S22" s="149"/>
      <c r="T22" s="149" t="str">
        <f>IF(M22&gt;0,ORDINI[[#This Row],[Valore Posizione]]-ORDINI[[#This Row],[Totale Fatturato]],"")</f>
        <v/>
      </c>
      <c r="U22" s="163"/>
    </row>
    <row r="23" spans="1:22" x14ac:dyDescent="0.2">
      <c r="A23" s="147"/>
      <c r="B23" s="156"/>
      <c r="D23" s="156" t="str">
        <f>IF(ORDINI[[#This Row],[BC]]&lt;&gt;0,VLOOKUP(ORDINI[[#This Row],[BC]],CONTRATTO!$B$20:$F$60,2,FALSE),"")</f>
        <v/>
      </c>
      <c r="E23" s="402" t="str">
        <f>IF(ORDINI[[#This Row],[BC]]&lt;&gt;0,VLOOKUP(ORDINI[[#This Row],[Listino]],CONTRATTO!$B$4:$F$15,5),"")</f>
        <v/>
      </c>
      <c r="F23" s="144" t="str">
        <f>IF(ORDINI[[#This Row],[BC]]&lt;&gt;0,VLOOKUP(ORDINI[[#This Row],[BC]],CONTRATTO!$B$20:$F$60,3,FALSE),"")</f>
        <v/>
      </c>
      <c r="G23" s="156" t="str">
        <f>IF(ORDINI[[#This Row],[BC]]&lt;&gt;0,VLOOKUP(ORDINI[[#This Row],[BC]],CONTRATTO!$B$20:$F$60,4,FALSE),"")</f>
        <v/>
      </c>
      <c r="H23" s="145" t="str">
        <f>IF(ORDINI[[#This Row],[BC]]&lt;&gt;0,VLOOKUP(ORDINI[[#This Row],[BC]],CONTRATTO!$B$20:$F$60,5,FALSE),"")</f>
        <v/>
      </c>
      <c r="I23" s="146"/>
      <c r="J23" s="146"/>
      <c r="M23" s="148"/>
      <c r="N23" s="149" t="str">
        <f>IF(ORDINI[[#This Row],[TOW]]&lt;&gt;0,VLOOKUP(ORDINI[[#This Row],[TOW]],CONTRATTO!$B$71:$D$76,3)*(1-ORDINI[[#This Row],[% sconto]]),"")</f>
        <v/>
      </c>
      <c r="O23" s="149" t="str">
        <f>IF(ORDINI[[#This Row],[Quantità]]&gt;0,ORDINI[[#This Row],[Quantità]]*ORDINI[[#This Row],[Prezzo Netto]],"")</f>
        <v/>
      </c>
      <c r="P23" s="149"/>
      <c r="Q23" s="150"/>
      <c r="R23" s="151"/>
      <c r="S23" s="149"/>
      <c r="T23" s="149" t="str">
        <f>IF(M23&gt;0,ORDINI[[#This Row],[Valore Posizione]]-ORDINI[[#This Row],[Totale Fatturato]],"")</f>
        <v/>
      </c>
      <c r="U23" s="163"/>
      <c r="V23" s="159">
        <v>1</v>
      </c>
    </row>
    <row r="24" spans="1:22" x14ac:dyDescent="0.2">
      <c r="A24" s="147"/>
      <c r="B24" s="156"/>
      <c r="D24" s="156" t="str">
        <f>IF(ORDINI[[#This Row],[BC]]&lt;&gt;0,VLOOKUP(ORDINI[[#This Row],[BC]],CONTRATTO!$B$20:$F$60,2,FALSE),"")</f>
        <v/>
      </c>
      <c r="E24" s="402" t="str">
        <f>IF(ORDINI[[#This Row],[BC]]&lt;&gt;0,VLOOKUP(ORDINI[[#This Row],[Listino]],CONTRATTO!$B$4:$F$15,5),"")</f>
        <v/>
      </c>
      <c r="F24" s="144" t="str">
        <f>IF(ORDINI[[#This Row],[BC]]&lt;&gt;0,VLOOKUP(ORDINI[[#This Row],[BC]],CONTRATTO!$B$20:$F$60,3,FALSE),"")</f>
        <v/>
      </c>
      <c r="G24" s="156" t="str">
        <f>IF(ORDINI[[#This Row],[BC]]&lt;&gt;0,VLOOKUP(ORDINI[[#This Row],[BC]],CONTRATTO!$B$20:$F$60,4,FALSE),"")</f>
        <v/>
      </c>
      <c r="H24" s="145" t="str">
        <f>IF(ORDINI[[#This Row],[BC]]&lt;&gt;0,VLOOKUP(ORDINI[[#This Row],[BC]],CONTRATTO!$B$20:$F$60,5,FALSE),"")</f>
        <v/>
      </c>
      <c r="I24" s="146"/>
      <c r="J24" s="146"/>
      <c r="M24" s="148"/>
      <c r="N24" s="149" t="str">
        <f>IF(ORDINI[[#This Row],[TOW]]&lt;&gt;0,VLOOKUP(ORDINI[[#This Row],[TOW]],CONTRATTO!$B$71:$D$76,3)*(1-ORDINI[[#This Row],[% sconto]]),"")</f>
        <v/>
      </c>
      <c r="O24" s="149" t="str">
        <f>IF(ORDINI[[#This Row],[Quantità]]&gt;0,ORDINI[[#This Row],[Quantità]]*ORDINI[[#This Row],[Prezzo Netto]],"")</f>
        <v/>
      </c>
      <c r="P24" s="149"/>
      <c r="Q24" s="150"/>
      <c r="R24" s="151"/>
      <c r="S24" s="149"/>
      <c r="T24" s="149" t="str">
        <f>IF(M24&gt;0,ORDINI[[#This Row],[Valore Posizione]]-ORDINI[[#This Row],[Totale Fatturato]],"")</f>
        <v/>
      </c>
      <c r="U24" s="163"/>
      <c r="V24" s="159">
        <v>1</v>
      </c>
    </row>
    <row r="25" spans="1:22" x14ac:dyDescent="0.2">
      <c r="A25" s="147"/>
      <c r="B25" s="156"/>
      <c r="D25" s="156" t="str">
        <f>IF(ORDINI[[#This Row],[BC]]&lt;&gt;0,VLOOKUP(ORDINI[[#This Row],[BC]],CONTRATTO!$B$20:$F$60,2,FALSE),"")</f>
        <v/>
      </c>
      <c r="E25" s="402" t="str">
        <f>IF(ORDINI[[#This Row],[BC]]&lt;&gt;0,VLOOKUP(ORDINI[[#This Row],[Listino]],CONTRATTO!$B$4:$F$15,5),"")</f>
        <v/>
      </c>
      <c r="F25" s="144" t="str">
        <f>IF(ORDINI[[#This Row],[BC]]&lt;&gt;0,VLOOKUP(ORDINI[[#This Row],[BC]],CONTRATTO!$B$20:$F$60,3,FALSE),"")</f>
        <v/>
      </c>
      <c r="G25" s="156" t="str">
        <f>IF(ORDINI[[#This Row],[BC]]&lt;&gt;0,VLOOKUP(ORDINI[[#This Row],[BC]],CONTRATTO!$B$20:$F$60,4,FALSE),"")</f>
        <v/>
      </c>
      <c r="H25" s="145" t="str">
        <f>IF(ORDINI[[#This Row],[BC]]&lt;&gt;0,VLOOKUP(ORDINI[[#This Row],[BC]],CONTRATTO!$B$20:$F$60,5,FALSE),"")</f>
        <v/>
      </c>
      <c r="I25" s="146"/>
      <c r="J25" s="146"/>
      <c r="M25" s="148"/>
      <c r="N25" s="149" t="str">
        <f>IF(ORDINI[[#This Row],[TOW]]&lt;&gt;0,VLOOKUP(ORDINI[[#This Row],[TOW]],CONTRATTO!$B$71:$D$76,3)*(1-ORDINI[[#This Row],[% sconto]]),"")</f>
        <v/>
      </c>
      <c r="O25" s="149" t="str">
        <f>IF(ORDINI[[#This Row],[Quantità]]&gt;0,ORDINI[[#This Row],[Quantità]]*ORDINI[[#This Row],[Prezzo Netto]],"")</f>
        <v/>
      </c>
      <c r="P25" s="149"/>
      <c r="Q25" s="152"/>
      <c r="R25" s="151"/>
      <c r="S25" s="149"/>
      <c r="T25" s="149" t="str">
        <f>IF(M25&gt;0,ORDINI[[#This Row],[Valore Posizione]]-ORDINI[[#This Row],[Totale Fatturato]],"")</f>
        <v/>
      </c>
      <c r="U25" s="163"/>
      <c r="V25" s="159">
        <v>1</v>
      </c>
    </row>
    <row r="26" spans="1:22" x14ac:dyDescent="0.2">
      <c r="A26" s="147"/>
      <c r="B26" s="156"/>
      <c r="D26" s="156" t="str">
        <f>IF(ORDINI[[#This Row],[BC]]&lt;&gt;0,VLOOKUP(ORDINI[[#This Row],[BC]],CONTRATTO!$B$20:$F$60,2,FALSE),"")</f>
        <v/>
      </c>
      <c r="E26" s="402" t="str">
        <f>IF(ORDINI[[#This Row],[BC]]&lt;&gt;0,VLOOKUP(ORDINI[[#This Row],[Listino]],CONTRATTO!$B$4:$F$15,5),"")</f>
        <v/>
      </c>
      <c r="F26" s="144" t="str">
        <f>IF(ORDINI[[#This Row],[BC]]&lt;&gt;0,VLOOKUP(ORDINI[[#This Row],[BC]],CONTRATTO!$B$20:$F$60,3,FALSE),"")</f>
        <v/>
      </c>
      <c r="G26" s="156" t="str">
        <f>IF(ORDINI[[#This Row],[BC]]&lt;&gt;0,VLOOKUP(ORDINI[[#This Row],[BC]],CONTRATTO!$B$20:$F$60,4,FALSE),"")</f>
        <v/>
      </c>
      <c r="H26" s="145" t="str">
        <f>IF(ORDINI[[#This Row],[BC]]&lt;&gt;0,VLOOKUP(ORDINI[[#This Row],[BC]],CONTRATTO!$B$20:$F$60,5,FALSE),"")</f>
        <v/>
      </c>
      <c r="I26" s="146"/>
      <c r="J26" s="146"/>
      <c r="M26" s="148"/>
      <c r="N26" s="149" t="str">
        <f>IF(ORDINI[[#This Row],[TOW]]&lt;&gt;0,VLOOKUP(ORDINI[[#This Row],[TOW]],CONTRATTO!$B$71:$D$76,3)*(1-ORDINI[[#This Row],[% sconto]]),"")</f>
        <v/>
      </c>
      <c r="O26" s="149" t="str">
        <f>IF(ORDINI[[#This Row],[Quantità]]&gt;0,ORDINI[[#This Row],[Quantità]]*ORDINI[[#This Row],[Prezzo Netto]],"")</f>
        <v/>
      </c>
      <c r="P26" s="149"/>
      <c r="Q26" s="150"/>
      <c r="R26" s="151"/>
      <c r="S26" s="149"/>
      <c r="T26" s="149" t="str">
        <f>IF(M26&gt;0,ORDINI[[#This Row],[Valore Posizione]]-ORDINI[[#This Row],[Totale Fatturato]],"")</f>
        <v/>
      </c>
      <c r="U26" s="163"/>
      <c r="V26" s="159">
        <v>1</v>
      </c>
    </row>
    <row r="27" spans="1:22" x14ac:dyDescent="0.2">
      <c r="A27" s="1" t="s">
        <v>11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3">
        <f>SUBTOTAL(109,ORDINI[Valore Posizione])</f>
        <v>38658</v>
      </c>
      <c r="P27" s="13">
        <f>SUBTOTAL(109,ORDINI[Importo Fatturabile])</f>
        <v>19329</v>
      </c>
      <c r="Q27" s="13"/>
      <c r="R27" s="13"/>
      <c r="S27" s="13">
        <f>SUBTOTAL(109,ORDINI[Totale Fatturato])</f>
        <v>19329</v>
      </c>
      <c r="T27" s="13">
        <f>SUBTOTAL(109,ORDINI[Residuo Fatturabile])</f>
        <v>19329</v>
      </c>
      <c r="U27" s="160"/>
      <c r="V27" s="160"/>
    </row>
    <row r="29" spans="1:22" x14ac:dyDescent="0.2">
      <c r="N29" s="149"/>
      <c r="O29" s="153"/>
    </row>
    <row r="30" spans="1:22" x14ac:dyDescent="0.2">
      <c r="O30" s="403"/>
      <c r="P30" s="149"/>
    </row>
    <row r="32" spans="1:22" x14ac:dyDescent="0.2">
      <c r="P32" s="154"/>
    </row>
    <row r="33" spans="16:16" x14ac:dyDescent="0.2">
      <c r="P33" s="155"/>
    </row>
    <row r="34" spans="16:16" x14ac:dyDescent="0.2">
      <c r="P34" s="155"/>
    </row>
  </sheetData>
  <phoneticPr fontId="1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F082460-04B4-4C0C-80EB-F7156914BD50}">
          <x14:formula1>
            <xm:f>CONTRATTO!$B$20:$B$60</xm:f>
          </x14:formula1>
          <xm:sqref>B2:B26</xm:sqref>
        </x14:dataValidation>
        <x14:dataValidation type="list" allowBlank="1" showInputMessage="1" showErrorMessage="1" xr:uid="{2C9B3F8D-0164-4823-ABAA-EE72998B04B6}">
          <x14:formula1>
            <xm:f>CONTRATTO!$B$71:$B$76</xm:f>
          </x14:formula1>
          <xm:sqref>L2:L26</xm:sqref>
        </x14:dataValidation>
        <x14:dataValidation type="list" allowBlank="1" showInputMessage="1" showErrorMessage="1" xr:uid="{6386DBA2-50C1-4723-847A-17926C5FC09F}">
          <x14:formula1>
            <xm:f>MEV!$D$7:$D$41</xm:f>
          </x14:formula1>
          <xm:sqref>A2:A26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8D0D-25FF-4C9E-8B1F-714C60C0617E}">
  <sheetPr codeName="Foglio8"/>
  <dimension ref="B2:Q72"/>
  <sheetViews>
    <sheetView topLeftCell="A9" zoomScale="115" zoomScaleNormal="115" workbookViewId="0">
      <selection activeCell="G27" activeCellId="1" sqref="D27 G27"/>
    </sheetView>
  </sheetViews>
  <sheetFormatPr baseColWidth="10" defaultColWidth="8.83203125" defaultRowHeight="14" x14ac:dyDescent="0.2"/>
  <cols>
    <col min="1" max="1" width="2.33203125" style="2" customWidth="1"/>
    <col min="2" max="2" width="18.83203125" style="2" bestFit="1" customWidth="1"/>
    <col min="3" max="3" width="12.83203125" style="2" customWidth="1"/>
    <col min="4" max="4" width="11.83203125" style="2" customWidth="1"/>
    <col min="5" max="5" width="14.83203125" style="2" bestFit="1" customWidth="1"/>
    <col min="6" max="6" width="14.33203125" style="2" bestFit="1" customWidth="1"/>
    <col min="7" max="7" width="13.1640625" style="2" customWidth="1"/>
    <col min="8" max="9" width="13.1640625" style="2" bestFit="1" customWidth="1"/>
    <col min="10" max="10" width="2.5" style="2" customWidth="1"/>
    <col min="11" max="11" width="18.83203125" style="2" bestFit="1" customWidth="1"/>
    <col min="12" max="12" width="13.33203125" style="2" customWidth="1"/>
    <col min="13" max="16" width="11.83203125" style="2" customWidth="1"/>
    <col min="17" max="17" width="10.1640625" style="2" bestFit="1" customWidth="1"/>
    <col min="18" max="16384" width="8.83203125" style="2"/>
  </cols>
  <sheetData>
    <row r="2" spans="2:13" x14ac:dyDescent="0.2">
      <c r="E2" s="449"/>
    </row>
    <row r="3" spans="2:13" x14ac:dyDescent="0.2">
      <c r="B3" s="2" t="s">
        <v>869</v>
      </c>
      <c r="C3" s="449">
        <f>CONTRATTO!G16</f>
        <v>6873048.9500000002</v>
      </c>
      <c r="F3" s="2" t="s">
        <v>25</v>
      </c>
      <c r="G3" s="5">
        <f>H39</f>
        <v>1586473.68</v>
      </c>
      <c r="H3" s="451">
        <f>G3/C3</f>
        <v>0.2308253137059354</v>
      </c>
    </row>
    <row r="4" spans="2:13" x14ac:dyDescent="0.2">
      <c r="B4" s="2" t="s">
        <v>86</v>
      </c>
      <c r="C4" s="449">
        <f>CONTRATTO!I61</f>
        <v>38658</v>
      </c>
      <c r="D4" s="451">
        <f>C4/C3</f>
        <v>5.6245780120626086E-3</v>
      </c>
      <c r="F4" s="2" t="s">
        <v>86</v>
      </c>
      <c r="G4" s="5">
        <f>CONTRATTO!I61</f>
        <v>38658</v>
      </c>
      <c r="H4" s="451">
        <f>G4/C3</f>
        <v>5.6245780120626086E-3</v>
      </c>
    </row>
    <row r="5" spans="2:13" x14ac:dyDescent="0.2">
      <c r="B5" s="2" t="s">
        <v>877</v>
      </c>
      <c r="C5" s="449">
        <f>C3-C4</f>
        <v>6834390.9500000002</v>
      </c>
      <c r="F5" s="2" t="s">
        <v>680</v>
      </c>
      <c r="G5" s="449">
        <f>CONTRATTO!N61</f>
        <v>19329</v>
      </c>
      <c r="H5" s="451">
        <f>G5/C3</f>
        <v>2.8122890060313043E-3</v>
      </c>
    </row>
    <row r="6" spans="2:13" x14ac:dyDescent="0.2">
      <c r="F6" s="2" t="s">
        <v>13</v>
      </c>
      <c r="G6" s="5">
        <f>ORDINI[[#Totals],[Totale Fatturato]]</f>
        <v>19329</v>
      </c>
      <c r="H6" s="451">
        <f>G6/C3</f>
        <v>2.8122890060313043E-3</v>
      </c>
    </row>
    <row r="8" spans="2:13" x14ac:dyDescent="0.2">
      <c r="B8" s="248">
        <v>2026</v>
      </c>
    </row>
    <row r="9" spans="2:13" x14ac:dyDescent="0.2">
      <c r="B9" s="91" t="s">
        <v>611</v>
      </c>
      <c r="C9" s="91" t="s">
        <v>612</v>
      </c>
      <c r="D9" s="91" t="s">
        <v>613</v>
      </c>
      <c r="E9" s="91" t="s">
        <v>615</v>
      </c>
      <c r="F9" s="91" t="s">
        <v>614</v>
      </c>
      <c r="G9" s="91" t="s">
        <v>109</v>
      </c>
      <c r="H9" s="91" t="s">
        <v>110</v>
      </c>
      <c r="I9" s="91" t="s">
        <v>616</v>
      </c>
      <c r="K9" s="91" t="s">
        <v>791</v>
      </c>
      <c r="L9" s="91">
        <v>2026</v>
      </c>
      <c r="M9" s="91">
        <v>2027</v>
      </c>
    </row>
    <row r="10" spans="2:13" x14ac:dyDescent="0.2">
      <c r="B10" s="89" t="s">
        <v>45</v>
      </c>
      <c r="C10" s="107">
        <f>247*6*21</f>
        <v>31122</v>
      </c>
      <c r="D10" s="90">
        <v>11</v>
      </c>
      <c r="E10" s="107">
        <f>C10*D10</f>
        <v>342342</v>
      </c>
      <c r="F10" s="108">
        <v>65000</v>
      </c>
      <c r="G10" s="108">
        <f>E10+F10</f>
        <v>407342</v>
      </c>
      <c r="H10" s="108"/>
      <c r="I10" s="92">
        <f>G10-H10</f>
        <v>407342</v>
      </c>
      <c r="K10" s="99" t="s">
        <v>792</v>
      </c>
      <c r="L10" s="117"/>
      <c r="M10" s="99"/>
    </row>
    <row r="11" spans="2:13" x14ac:dyDescent="0.2">
      <c r="B11" s="99" t="s">
        <v>61</v>
      </c>
      <c r="C11" s="117">
        <v>6443</v>
      </c>
      <c r="D11" s="100">
        <v>12</v>
      </c>
      <c r="E11" s="117">
        <f>C11*D11</f>
        <v>77316</v>
      </c>
      <c r="F11" s="101">
        <v>0</v>
      </c>
      <c r="G11" s="101">
        <f t="shared" ref="G11:G14" si="0">E11+F11</f>
        <v>77316</v>
      </c>
      <c r="H11" s="101">
        <f>Q38</f>
        <v>38658</v>
      </c>
      <c r="I11" s="118">
        <f t="shared" ref="I11:I14" si="1">G11-H11</f>
        <v>38658</v>
      </c>
      <c r="K11" s="87" t="s">
        <v>793</v>
      </c>
      <c r="L11" s="106"/>
      <c r="M11" s="87"/>
    </row>
    <row r="12" spans="2:13" x14ac:dyDescent="0.2">
      <c r="B12" s="87" t="s">
        <v>58</v>
      </c>
      <c r="C12" s="106">
        <v>40000</v>
      </c>
      <c r="D12" s="88">
        <v>3</v>
      </c>
      <c r="E12" s="106">
        <f>C12*D12</f>
        <v>120000</v>
      </c>
      <c r="F12" s="98">
        <v>0</v>
      </c>
      <c r="G12" s="98">
        <f t="shared" si="0"/>
        <v>120000</v>
      </c>
      <c r="H12" s="98">
        <f>Q29</f>
        <v>0</v>
      </c>
      <c r="I12" s="93">
        <f t="shared" si="1"/>
        <v>120000</v>
      </c>
      <c r="K12" s="119"/>
      <c r="L12" s="120"/>
      <c r="M12" s="119"/>
    </row>
    <row r="13" spans="2:13" ht="15" thickBot="1" x14ac:dyDescent="0.25">
      <c r="B13" s="119" t="s">
        <v>617</v>
      </c>
      <c r="C13" s="120"/>
      <c r="D13" s="121"/>
      <c r="E13" s="117">
        <f>H39-H29</f>
        <v>1586473.68</v>
      </c>
      <c r="F13" s="122">
        <v>616000</v>
      </c>
      <c r="G13" s="101">
        <f t="shared" si="0"/>
        <v>2202473.6799999997</v>
      </c>
      <c r="H13" s="122">
        <f>Q39-Q29</f>
        <v>38658</v>
      </c>
      <c r="I13" s="118">
        <f t="shared" si="1"/>
        <v>2163815.6799999997</v>
      </c>
      <c r="K13" s="109"/>
      <c r="L13" s="110"/>
      <c r="M13" s="109"/>
    </row>
    <row r="14" spans="2:13" ht="16" thickTop="1" thickBot="1" x14ac:dyDescent="0.25">
      <c r="B14" s="109"/>
      <c r="C14" s="110"/>
      <c r="D14" s="111"/>
      <c r="E14" s="110">
        <f>C14*D14</f>
        <v>0</v>
      </c>
      <c r="F14" s="111"/>
      <c r="G14" s="112">
        <f t="shared" si="0"/>
        <v>0</v>
      </c>
      <c r="H14" s="111"/>
      <c r="I14" s="113">
        <f t="shared" si="1"/>
        <v>0</v>
      </c>
      <c r="K14" s="114"/>
      <c r="L14" s="116">
        <f>SUM(L10:L13)</f>
        <v>0</v>
      </c>
      <c r="M14" s="116">
        <f>SUM(M10:M13)</f>
        <v>0</v>
      </c>
    </row>
    <row r="15" spans="2:13" ht="16" thickTop="1" thickBot="1" x14ac:dyDescent="0.25">
      <c r="B15" s="114" t="s">
        <v>73</v>
      </c>
      <c r="C15" s="115"/>
      <c r="D15" s="115"/>
      <c r="E15" s="115"/>
      <c r="F15" s="115"/>
      <c r="G15" s="116">
        <f>SUM(G10:G14)</f>
        <v>2807131.6799999997</v>
      </c>
      <c r="H15" s="116">
        <f>SUM(H10:H14)</f>
        <v>77316</v>
      </c>
      <c r="I15" s="116">
        <f>SUM(I10:I14)</f>
        <v>2729815.6799999997</v>
      </c>
    </row>
    <row r="16" spans="2:13" ht="15" thickTop="1" x14ac:dyDescent="0.2"/>
    <row r="18" spans="2:17" x14ac:dyDescent="0.2">
      <c r="B18" s="248" t="s">
        <v>870</v>
      </c>
      <c r="K18" s="248" t="s">
        <v>871</v>
      </c>
    </row>
    <row r="19" spans="2:17" x14ac:dyDescent="0.2">
      <c r="B19" s="135" t="s">
        <v>865</v>
      </c>
      <c r="C19" s="136" t="s">
        <v>1070</v>
      </c>
      <c r="D19" s="136" t="s">
        <v>129</v>
      </c>
      <c r="E19" s="136" t="s">
        <v>133</v>
      </c>
      <c r="F19" s="136" t="s">
        <v>134</v>
      </c>
      <c r="G19" s="136" t="s">
        <v>137</v>
      </c>
      <c r="H19" s="137" t="s">
        <v>73</v>
      </c>
      <c r="K19" s="135" t="s">
        <v>866</v>
      </c>
      <c r="L19" s="136" t="s">
        <v>930</v>
      </c>
      <c r="M19" s="136" t="s">
        <v>129</v>
      </c>
      <c r="N19" s="136" t="s">
        <v>133</v>
      </c>
      <c r="O19" s="136" t="s">
        <v>134</v>
      </c>
      <c r="P19" s="136" t="s">
        <v>137</v>
      </c>
      <c r="Q19" s="137" t="s">
        <v>73</v>
      </c>
    </row>
    <row r="20" spans="2:17" x14ac:dyDescent="0.2">
      <c r="B20" s="89" t="s">
        <v>36</v>
      </c>
      <c r="C20" s="108">
        <f>SUMIFS(MEV!M:M,MEV!L:L,"approvato",MEV!C:C,"BEP",MEV!H:H,"2026",MEV!I:I,"R.26.03 EXTRA")</f>
        <v>0</v>
      </c>
      <c r="D20" s="108">
        <f>SUMIFS(MEV!M:M,MEV!L:L,"approvato",MEV!C:C,"BEP",MEV!H:H,"2026",MEV!I:I,"R.26.05")</f>
        <v>34614.83</v>
      </c>
      <c r="E20" s="108">
        <f>SUMIFS(MEV!M:M,MEV!L:L,"approvato",MEV!C:C,"BEP",MEV!H:H,"2026",MEV!I:I,"R.26.06")</f>
        <v>0</v>
      </c>
      <c r="F20" s="108">
        <f>SUMIFS(MEV!M:M,MEV!L:L,"approvato",MEV!C:C,"BEP",MEV!H:H,"2026",MEV!I:I,"R.26.07")</f>
        <v>50225.15</v>
      </c>
      <c r="G20" s="108">
        <f>SUMIFS(MEV!M:M,MEV!L:L,"approvato",MEV!C:C,"BEP",MEV!H:H,"2026",MEV!I:I,"R.26.10")</f>
        <v>1237.73</v>
      </c>
      <c r="H20" s="92">
        <f t="shared" ref="H20:H36" si="2">SUM(C20:G20)</f>
        <v>86077.71</v>
      </c>
      <c r="K20" s="89" t="s">
        <v>36</v>
      </c>
      <c r="L20" s="108">
        <f>SUMIFS(MEV!AE:AE,MEV!L:L,"approvato",MEV!C:C,"BEP",MEV!H:H,"2026",MEV!I:I,"R.26.03 EXTRA")</f>
        <v>0</v>
      </c>
      <c r="M20" s="108">
        <f>SUMIFS(MEV!AE:AE,MEV!L:L,"approvato",MEV!C:C,"BEP",MEV!H:H,"2026",MEV!I:I,"R.26.05")</f>
        <v>0</v>
      </c>
      <c r="N20" s="108"/>
      <c r="O20" s="108">
        <f>SUMIFS(MEV!AE:AE,MEV!L:L,"approvato",MEV!C:C,"BEP",MEV!H:H,"2026",MEV!I:I,"R.26.07")</f>
        <v>0</v>
      </c>
      <c r="P20" s="108">
        <f>SUMIFS(MEV!AE:AE,MEV!L:L,"approvato",MEV!C:C,"BEP",MEV!H:H,"2026",MEV!I:I,"R.26.10")</f>
        <v>0</v>
      </c>
      <c r="Q20" s="92">
        <f t="shared" ref="Q20:Q36" si="3">SUM(L20:P20)</f>
        <v>0</v>
      </c>
    </row>
    <row r="21" spans="2:17" x14ac:dyDescent="0.2">
      <c r="B21" s="99" t="s">
        <v>52</v>
      </c>
      <c r="C21" s="101">
        <f>SUMIFS(MEV!M:M,MEV!L:L,"approvato",MEV!C:C,"FMS",MEV!H:H,"2026",MEV!I:I,"R.26.03 EXTRA")</f>
        <v>0</v>
      </c>
      <c r="D21" s="101">
        <f>SUMIFS(MEV!M:M,MEV!L:L,"approvato",MEV!C:C,"FMS",MEV!H:H,"2026",MEV!I:I,"R.26.05")</f>
        <v>0</v>
      </c>
      <c r="E21" s="101"/>
      <c r="F21" s="101">
        <f>SUMIFS(MEV!M:M,MEV!L:L,"approvato",MEV!C:C,"FMS",MEV!H:H,"2026",MEV!I:I,"R.26.07")</f>
        <v>0</v>
      </c>
      <c r="G21" s="101">
        <f>SUMIFS(MEV!M:M,MEV!L:L,"approvato",MEV!C:C,"FMS",MEV!H:H,"2026",MEV!I:I,"R.26.10")</f>
        <v>0</v>
      </c>
      <c r="H21" s="118">
        <f t="shared" si="2"/>
        <v>0</v>
      </c>
      <c r="K21" s="99" t="s">
        <v>52</v>
      </c>
      <c r="L21" s="101">
        <f>SUMIFS(MEV!AE:AE,MEV!L:L,"approvato",MEV!C:C,"FMS",MEV!H:H,"2026",MEV!I:I,"R.26.03 EXTRA")</f>
        <v>0</v>
      </c>
      <c r="M21" s="101">
        <f>SUMIFS(MEV!AE:AE,MEV!L:L,"approvato",MEV!C:C,"FMS",MEV!H:H,"2026",MEV!I:I,"R.26.05")</f>
        <v>0</v>
      </c>
      <c r="N21" s="101"/>
      <c r="O21" s="101">
        <f>SUMIFS(MEV!AE:AE,MEV!L:L,"approvato",MEV!C:C,"FMS",MEV!H:H,"2026",MEV!I:I,"R.26.07")</f>
        <v>0</v>
      </c>
      <c r="P21" s="101">
        <f>SUMIFS(MEV!AE:AE,MEV!L:L,"approvato",MEV!C:C,"FMS",MEV!H:H,"2026",MEV!I:I,"R.26.10")</f>
        <v>0</v>
      </c>
      <c r="Q21" s="118">
        <f t="shared" si="3"/>
        <v>0</v>
      </c>
    </row>
    <row r="22" spans="2:17" x14ac:dyDescent="0.2">
      <c r="B22" s="89" t="s">
        <v>44</v>
      </c>
      <c r="C22" s="108">
        <f>SUMIFS(MEV!M:M,MEV!L:L,"approvato",MEV!C:C,"ILP",MEV!H:H,"2026",MEV!I:I,"R.26.03 EXTRA")</f>
        <v>0</v>
      </c>
      <c r="D22" s="108">
        <f>SUMIFS(MEV!M:M,MEV!L:L,"approvato",MEV!C:C,"ILP",MEV!H:H,"2026",MEV!I:I,"R.26.05")</f>
        <v>0</v>
      </c>
      <c r="E22" s="108"/>
      <c r="F22" s="108">
        <f>SUMIFS(MEV!M:M,MEV!L:L,"approvato",MEV!C:C,"ILP",MEV!H:H,"2026",MEV!I:I,"R.26.07")</f>
        <v>142747.95000000001</v>
      </c>
      <c r="G22" s="108">
        <f>SUMIFS(MEV!M:M,MEV!L:L,"approvato",MEV!C:C,"ILP",MEV!H:H,"2026",MEV!I:I,"R.26.10")</f>
        <v>0</v>
      </c>
      <c r="H22" s="92">
        <f t="shared" si="2"/>
        <v>142747.95000000001</v>
      </c>
      <c r="K22" s="89" t="s">
        <v>44</v>
      </c>
      <c r="L22" s="108">
        <f>SUMIFS(MEV!AE:AE,MEV!L:L,"approvato",MEV!C:C,"ILP",MEV!H:H,"2026",MEV!I:I,"R.26.03 EXTRA")</f>
        <v>0</v>
      </c>
      <c r="M22" s="108">
        <f>SUMIFS(MEV!AE:AE,MEV!L:L,"approvato",MEV!C:C,"ILP",MEV!H:H,"2026",MEV!I:I,"R.26.05")</f>
        <v>0</v>
      </c>
      <c r="N22" s="108"/>
      <c r="O22" s="108">
        <f>SUMIFS(MEV!AE:AE,MEV!L:L,"approvato",MEV!C:C,"ILP",MEV!H:H,"2026",MEV!I:I,"R.26.07")</f>
        <v>0</v>
      </c>
      <c r="P22" s="108">
        <f>SUMIFS(MEV!AE:AE,MEV!L:L,"approvato",MEV!C:C,"ILP",MEV!H:H,"2026",MEV!I:I,"R.26.10")</f>
        <v>0</v>
      </c>
      <c r="Q22" s="92">
        <f t="shared" si="3"/>
        <v>0</v>
      </c>
    </row>
    <row r="23" spans="2:17" x14ac:dyDescent="0.2">
      <c r="B23" s="99" t="s">
        <v>988</v>
      </c>
      <c r="C23" s="101">
        <f>SUMIFS(MEV!M:M,MEV!L:L,"approvato",MEV!C:C,"IPER_IPERSUITE",MEV!H:H,"2026",MEV!I:I,"R.26.03 EXTRA")</f>
        <v>0</v>
      </c>
      <c r="D23" s="101">
        <f>SUMIFS(MEV!M:M,MEV!L:L,"approvato",MEV!C:C,"IPER_IPERSUITE",MEV!H:H,"2026",MEV!I:I,"R.26.05")</f>
        <v>4821.05</v>
      </c>
      <c r="E23" s="101">
        <f>SUMIFS(MEV!M:M,MEV!L:L,"approvato",MEV!C:C,"IPER_IPERSUITE",MEV!H:H,"2026",MEV!I:I,"R.26.06")</f>
        <v>168268.22999999998</v>
      </c>
      <c r="F23" s="101">
        <f>SUMIFS(MEV!M:M,MEV!L:L,"approvato",MEV!C:C,"IPER_IPERSUITE",MEV!H:H,"2026",MEV!I:I,"R.26.07")</f>
        <v>22142.28</v>
      </c>
      <c r="G23" s="101">
        <f>SUMIFS(MEV!M:M,MEV!L:L,"approvato",MEV!C:C,"IPER_IPERSUITE",MEV!H:H,"2026",MEV!I:I,"R.26.10")</f>
        <v>0</v>
      </c>
      <c r="H23" s="118">
        <f t="shared" si="2"/>
        <v>195231.55999999997</v>
      </c>
      <c r="K23" s="99" t="s">
        <v>71</v>
      </c>
      <c r="L23" s="101">
        <f>SUMIFS(MEV!AE:AE,MEV!L:L,"approvato",MEV!C:C,"IPER / IPERSUITE",MEV!H:H,"2026",MEV!I:I,"R.26.03 EXTRA")</f>
        <v>0</v>
      </c>
      <c r="M23" s="101">
        <f>SUMIFS(MEV!AE:AE,MEV!L:L,"approvato",MEV!C:C,"IPER / IPERSUITE",MEV!H:H,"2026",MEV!I:I,"R.26.05")</f>
        <v>0</v>
      </c>
      <c r="N23" s="101">
        <f>SUMIFS(MEV!AE:AE,MEV!L:L,"approvato",MEV!C:C,"IPER / IPERSUITE",MEV!H:H,"2026",MEV!I:I,"R.26.06")</f>
        <v>0</v>
      </c>
      <c r="O23" s="101">
        <f>SUMIFS(MEV!AE:AE,MEV!L:L,"approvato",MEV!C:C,"IPER / IPERSUITE",MEV!H:H,"2026",MEV!I:I,"R.26.07")</f>
        <v>0</v>
      </c>
      <c r="P23" s="101">
        <f>SUMIFS(MEV!AE:AE,MEV!L:L,"approvato",MEV!C:C,"IPER / IPERSUITE",MEV!H:H,"2026",MEV!I:I,"R.26.10")</f>
        <v>0</v>
      </c>
      <c r="Q23" s="118">
        <f t="shared" si="3"/>
        <v>0</v>
      </c>
    </row>
    <row r="24" spans="2:17" x14ac:dyDescent="0.2">
      <c r="B24" s="89" t="s">
        <v>198</v>
      </c>
      <c r="C24" s="108">
        <f>SUMIFS(MEV!M:M,MEV!L:L,"approvato",MEV!C:C,"MAIL BOX - CdC",MEV!H:H,"2026",MEV!I:I,"R.26.03 EXTRA")</f>
        <v>0</v>
      </c>
      <c r="D24" s="108">
        <f>SUMIFS(MEV!M:M,MEV!L:L,"approvato",MEV!C:C,"MAIL BOX - CdC",MEV!H:H,"2026",MEV!I:I,"R.26.05")</f>
        <v>0</v>
      </c>
      <c r="E24" s="108">
        <f>SUMIFS(MEV!N:N,MEV!M:M,"approvato",MEV!D:D,"MAIL BOX - CdC",MEV!I:I,"2026",MEV!J:J,"R.26.05")</f>
        <v>0</v>
      </c>
      <c r="F24" s="108">
        <f>SUMIFS(MEV!M:M,MEV!L:L,"approvato",MEV!C:C,"MAIL BOX - CdC",MEV!H:H,"2026",MEV!I:I,"R.26.07")</f>
        <v>0</v>
      </c>
      <c r="G24" s="108">
        <f>SUMIFS(MEV!M:M,MEV!L:L,"approvato",MEV!C:C,"MAIL BOX - CdC",MEV!H:H,"2026",MEV!I:I,"R.26.10")</f>
        <v>0</v>
      </c>
      <c r="H24" s="92">
        <f t="shared" si="2"/>
        <v>0</v>
      </c>
      <c r="K24" s="89" t="s">
        <v>198</v>
      </c>
      <c r="L24" s="108">
        <f>SUMIFS(MEV!AE:AE,MEV!L:L,"approvato",MEV!C:C,"MAIL BOX - CdC",MEV!H:H,"2026",MEV!I:I,"R.26.03 EXTRA")</f>
        <v>0</v>
      </c>
      <c r="M24" s="108">
        <f>SUMIFS(MEV!AE:AE,MEV!L:L,"approvato",MEV!C:C,"MAIL BOX - CdC",MEV!H:H,"2026",MEV!I:I,"R.26.05")</f>
        <v>0</v>
      </c>
      <c r="N24" s="108"/>
      <c r="O24" s="108">
        <f>SUMIFS(MEV!AE:AE,MEV!L:L,"approvato",MEV!C:C,"MAIL BOX - CdC",MEV!H:H,"2026",MEV!I:I,"R.26.07")</f>
        <v>0</v>
      </c>
      <c r="P24" s="108">
        <f>SUMIFS(MEV!AE:AE,MEV!L:L,"approvato",MEV!C:C,"MAIL BOX - CdC",MEV!H:H,"2026",MEV!I:I,"R.26.10")</f>
        <v>0</v>
      </c>
      <c r="Q24" s="92">
        <f t="shared" si="3"/>
        <v>0</v>
      </c>
    </row>
    <row r="25" spans="2:17" x14ac:dyDescent="0.2">
      <c r="B25" s="99" t="s">
        <v>41</v>
      </c>
      <c r="C25" s="101">
        <f>SUMIFS(MEV!M:M,MEV!L:L,"approvato",MEV!C:C,"NODO",MEV!H:H,"2026",MEV!I:I,"R.26.03 EXTRA")</f>
        <v>0</v>
      </c>
      <c r="D25" s="101">
        <f>SUMIFS(MEV!M:M,MEV!L:L,"approvato",MEV!C:C,"NODO",MEV!H:H,"2026",MEV!I:I,"R.26.05")</f>
        <v>0</v>
      </c>
      <c r="E25" s="101">
        <f>SUMIFS(MEV!N:N,MEV!M:M,"approvato",MEV!D:D,"NODO",MEV!I:I,"2026",MEV!J:J,"R.26.05")</f>
        <v>0</v>
      </c>
      <c r="F25" s="101">
        <f>SUMIFS(MEV!M:M,MEV!L:L,"approvato",MEV!C:C,"NODO",MEV!H:H,"2026",MEV!I:I,"R.26.07")</f>
        <v>0</v>
      </c>
      <c r="G25" s="101">
        <f>SUMIFS(MEV!M:M,MEV!L:L,"approvato",MEV!C:C,"NODO",MEV!H:H,"2026",MEV!I:I,"R.26.10")</f>
        <v>0</v>
      </c>
      <c r="H25" s="118">
        <f t="shared" si="2"/>
        <v>0</v>
      </c>
      <c r="K25" s="99" t="s">
        <v>41</v>
      </c>
      <c r="L25" s="101">
        <f>SUMIFS(MEV!AE:AE,MEV!L:L,"approvato",MEV!C:C,"NODO",MEV!H:H,"2026",MEV!I:I,"R.26.03 EXTRA")</f>
        <v>0</v>
      </c>
      <c r="M25" s="101">
        <f>SUMIFS(MEV!AE:AE,MEV!L:L,"approvato",MEV!C:C,"NODO",MEV!H:H,"2026",MEV!I:I,"R.26.05")</f>
        <v>0</v>
      </c>
      <c r="N25" s="101"/>
      <c r="O25" s="101">
        <f>SUMIFS(MEV!AE:AE,MEV!L:L,"approvato",MEV!C:C,"NODO",MEV!H:H,"2026",MEV!I:I,"R.26.07")</f>
        <v>0</v>
      </c>
      <c r="P25" s="101">
        <f>SUMIFS(MEV!AE:AE,MEV!L:L,"approvato",MEV!C:C,"NODO",MEV!H:H,"2026",MEV!I:I,"R.26.10")</f>
        <v>0</v>
      </c>
      <c r="Q25" s="118">
        <f t="shared" si="3"/>
        <v>0</v>
      </c>
    </row>
    <row r="26" spans="2:17" x14ac:dyDescent="0.2">
      <c r="B26" s="89" t="s">
        <v>26</v>
      </c>
      <c r="C26" s="108">
        <f>SUMIFS(MEV!M:M,MEV!L:L,"approvato",MEV!C:C,"NPSO",MEV!H:H,"2026",MEV!I:I,"R.26.03 EXTRA")</f>
        <v>0</v>
      </c>
      <c r="D26" s="108">
        <f>SUMIFS(MEV!M:M,MEV!L:L,"approvato",MEV!C:C,"NPSO",MEV!H:H,"2026",MEV!I:I,"R.26.05")</f>
        <v>17174.77</v>
      </c>
      <c r="E26" s="108">
        <f>SUMIFS(MEV!N:N,MEV!M:M,"approvato",MEV!D:D,"NPSO",MEV!I:I,"2026",MEV!J:J,"R.26.05")</f>
        <v>0</v>
      </c>
      <c r="F26" s="108">
        <f>SUMIFS(MEV!M:M,MEV!L:L,"approvato",MEV!C:C,"NPSO",MEV!H:H,"2026",MEV!I:I,"R.26.07")</f>
        <v>151860.23000000001</v>
      </c>
      <c r="G26" s="108">
        <f>SUMIFS(MEV!M:M,MEV!L:L,"approvato",MEV!C:C,"NPSO",MEV!H:H,"2026",MEV!I:I,"R.26.10")</f>
        <v>0</v>
      </c>
      <c r="H26" s="92">
        <f t="shared" si="2"/>
        <v>169035</v>
      </c>
      <c r="K26" s="89" t="s">
        <v>26</v>
      </c>
      <c r="L26" s="108">
        <f>SUMIFS(MEV!AE:AE,MEV!L:L,"approvato",MEV!C:C,"NPSO",MEV!H:H,"2026",MEV!I:I,"R.26.03 EXTRA")</f>
        <v>0</v>
      </c>
      <c r="M26" s="108">
        <f>SUMIFS(MEV!AE:AE,MEV!L:L,"approvato",MEV!C:C,"NPSO",MEV!H:H,"2026",MEV!I:I,"R.26.05")</f>
        <v>0</v>
      </c>
      <c r="N26" s="108"/>
      <c r="O26" s="108">
        <f>SUMIFS(MEV!AE:AE,MEV!L:L,"approvato",MEV!C:C,"NPSO",MEV!H:H,"2026",MEV!I:I,"R.26.07")</f>
        <v>0</v>
      </c>
      <c r="P26" s="108">
        <f>SUMIFS(MEV!AE:AE,MEV!L:L,"approvato",MEV!C:C,"NPSO",MEV!H:H,"2026",MEV!I:I,"R.26.10")</f>
        <v>0</v>
      </c>
      <c r="Q26" s="92">
        <f t="shared" si="3"/>
        <v>0</v>
      </c>
    </row>
    <row r="27" spans="2:17" x14ac:dyDescent="0.2">
      <c r="B27" s="99" t="s">
        <v>614</v>
      </c>
      <c r="C27" s="101">
        <f>SUMIFS(MEV!M:M,MEV!L:L,"approvato",MEV!C:C,"RECUPERO",MEV!H:H,"2026",MEV!I:I,"R.26.03 EXTRA")</f>
        <v>0</v>
      </c>
      <c r="D27" s="101">
        <f>SUMIFS(MEV!M:M,MEV!L:L,"approvato",MEV!C:C,"RECUPERO",MEV!H:H,"2026",MEV!I:I,"R.26.05")</f>
        <v>616000</v>
      </c>
      <c r="E27" s="101">
        <f>SUMIFS(MEV!N:N,MEV!M:M,"approvato",MEV!D:D,"RECUPERO",MEV!I:I,"2026",MEV!J:J,"R.26.05")</f>
        <v>0</v>
      </c>
      <c r="F27" s="101">
        <f>SUMIFS(MEV!M:M,MEV!L:L,"approvato",MEV!C:C,"RECUPERO",MEV!H:H,"2026",MEV!I:I,"R.26.07")</f>
        <v>0</v>
      </c>
      <c r="G27" s="101">
        <f>SUMIFS(MEV!M:M,MEV!L:L,"approvato",MEV!C:C,"RECUPERO",MEV!H:H,"2026",MEV!I:I,"R.26.10")</f>
        <v>187000</v>
      </c>
      <c r="H27" s="118">
        <f t="shared" si="2"/>
        <v>803000</v>
      </c>
      <c r="K27" s="99" t="s">
        <v>614</v>
      </c>
      <c r="L27" s="101">
        <f>SUMIFS(MEV!AE:AE,MEV!L:L,"approvato",MEV!C:C,"RECUPERO 2025",MEV!H:H,"2026",MEV!I:I,"R.26.03 EXTRA")</f>
        <v>0</v>
      </c>
      <c r="M27" s="101">
        <f>SUMIFS(MEV!AE:AE,MEV!L:L,"approvato",MEV!C:C,"RECUPERO 2025",MEV!H:H,"2026",MEV!I:I,"R.26.05")</f>
        <v>0</v>
      </c>
      <c r="N27" s="101"/>
      <c r="O27" s="101">
        <f>SUMIFS(MEV!AE:AE,MEV!L:L,"approvato",MEV!C:C,"RECUPERO 2025",MEV!H:H,"2026",MEV!I:I,"R.26.07")</f>
        <v>0</v>
      </c>
      <c r="P27" s="101">
        <f>SUMIFS(MEV!AE:AE,MEV!L:L,"approvato",MEV!C:C,"RECUPERO 2025",MEV!H:H,"2026",MEV!I:I,"R.26.10")</f>
        <v>0</v>
      </c>
      <c r="Q27" s="118">
        <f t="shared" si="3"/>
        <v>0</v>
      </c>
    </row>
    <row r="28" spans="2:17" x14ac:dyDescent="0.2">
      <c r="B28" s="89" t="s">
        <v>201</v>
      </c>
      <c r="C28" s="108">
        <f>SUMIFS(MEV!M:M,MEV!L:L,"approvato",MEV!C:C,"SAP AII",MEV!H:H,"2026",MEV!I:I,"R.26.03 EXTRA")</f>
        <v>0</v>
      </c>
      <c r="D28" s="108">
        <f>SUMIFS(MEV!M:M,MEV!L:L,"approvato",MEV!C:C,"SAP AII",MEV!H:H,"2026",MEV!I:I,"R.26.05")</f>
        <v>0</v>
      </c>
      <c r="E28" s="108">
        <f>SUMIFS(MEV!N:N,MEV!M:M,"approvato",MEV!D:D,"SAP AII",MEV!I:I,"2026",MEV!J:J,"R.26.05")</f>
        <v>0</v>
      </c>
      <c r="F28" s="108">
        <f>SUMIFS(MEV!M:M,MEV!L:L,"approvato",MEV!C:C,"SAP AII",MEV!H:H,"2026",MEV!I:I,"R.26.07")</f>
        <v>0</v>
      </c>
      <c r="G28" s="108">
        <f>SUMIFS(MEV!M:M,MEV!L:L,"approvato",MEV!C:C,"SAP AII",MEV!H:H,"2026",MEV!I:I,"R.26.10")</f>
        <v>0</v>
      </c>
      <c r="H28" s="92">
        <f t="shared" si="2"/>
        <v>0</v>
      </c>
      <c r="K28" s="89" t="s">
        <v>201</v>
      </c>
      <c r="L28" s="108">
        <f>SUMIFS(MEV!AE:AE,MEV!L:L,"approvato",MEV!C:C,"SAP AII",MEV!H:H,"2026",MEV!I:I,"R.26.03 EXTRA")</f>
        <v>0</v>
      </c>
      <c r="M28" s="108">
        <f>SUMIFS(MEV!AE:AE,MEV!L:L,"approvato",MEV!C:C,"SAP AII",MEV!H:H,"2026",MEV!I:I,"R.26.05")</f>
        <v>0</v>
      </c>
      <c r="N28" s="108"/>
      <c r="O28" s="108">
        <f>SUMIFS(MEV!AE:AE,MEV!L:L,"approvato",MEV!C:C,"SAP AII",MEV!H:H,"2026",MEV!I:I,"R.26.07")</f>
        <v>0</v>
      </c>
      <c r="P28" s="108">
        <f>SUMIFS(MEV!AE:AE,MEV!L:L,"approvato",MEV!C:C,"SAP AII",MEV!H:H,"2026",MEV!I:I,"R.26.10")</f>
        <v>0</v>
      </c>
      <c r="Q28" s="92">
        <f t="shared" si="3"/>
        <v>0</v>
      </c>
    </row>
    <row r="29" spans="2:17" x14ac:dyDescent="0.2">
      <c r="B29" s="99" t="s">
        <v>72</v>
      </c>
      <c r="C29" s="101">
        <f>SUMIFS(MEV!M:M,MEV!L:L,"approvato",MEV!C:C,"SAP EM / Mediation",MEV!H:H,"2026",MEV!I:I,"R.26.03 EXTRA")</f>
        <v>0</v>
      </c>
      <c r="D29" s="101">
        <f>SUMIFS(MEV!M:M,MEV!L:L,"approvato",MEV!C:C,"SAP EM / Mediation",MEV!H:H,"2026",MEV!I:I,"R.26.05")</f>
        <v>0</v>
      </c>
      <c r="E29" s="101">
        <f>SUMIFS(MEV!N:N,MEV!M:M,"approvato",MEV!D:D,"SAP EM / Mediation",MEV!I:I,"2026",MEV!J:J,"R.26.05")</f>
        <v>0</v>
      </c>
      <c r="F29" s="101">
        <f>SUMIFS(MEV!M:M,MEV!L:L,"approvato",MEV!C:C,"SAP EM / Mediation",MEV!H:H,"2026",MEV!I:I,"R.26.07")</f>
        <v>0</v>
      </c>
      <c r="G29" s="101">
        <f>SUMIFS(MEV!M:M,MEV!L:L,"approvato",MEV!C:C,"SAP EM / Mediation",MEV!H:H,"2026",MEV!I:I,"R.26.10")</f>
        <v>0</v>
      </c>
      <c r="H29" s="118">
        <f t="shared" si="2"/>
        <v>0</v>
      </c>
      <c r="K29" s="99" t="s">
        <v>72</v>
      </c>
      <c r="L29" s="101">
        <f>SUMIFS(MEV!AE:AE,MEV!L:L,"approvato",MEV!C:C,"SAP EM / Mediation",MEV!H:H,"2026",MEV!I:I,"R.26.03 EXTRA")</f>
        <v>0</v>
      </c>
      <c r="M29" s="101">
        <f>SUMIFS(MEV!AE:AE,MEV!L:L,"approvato",MEV!C:C,"SAP EM / Mediation",MEV!H:H,"2026",MEV!I:I,"R.26.05")</f>
        <v>0</v>
      </c>
      <c r="N29" s="101"/>
      <c r="O29" s="101">
        <f>SUMIFS(MEV!AE:AE,MEV!L:L,"approvato",MEV!C:C,"SAP EM / Mediation",MEV!H:H,"2026",MEV!I:I,"R.26.07")</f>
        <v>0</v>
      </c>
      <c r="P29" s="101">
        <f>SUMIFS(MEV!AE:AE,MEV!L:L,"approvato",MEV!C:C,"SAP EM / Mediation",MEV!H:H,"2026",MEV!I:I,"R.26.10")</f>
        <v>0</v>
      </c>
      <c r="Q29" s="118">
        <f t="shared" si="3"/>
        <v>0</v>
      </c>
    </row>
    <row r="30" spans="2:17" x14ac:dyDescent="0.2">
      <c r="B30" s="89" t="s">
        <v>200</v>
      </c>
      <c r="C30" s="108">
        <f>SUMIFS(MEV!M:M,MEV!L:L,"approvato",MEV!C:C,"SAP ICC",MEV!H:H,"2026",MEV!I:I,"R.26.03 EXTRA")</f>
        <v>0</v>
      </c>
      <c r="D30" s="108">
        <f>SUMIFS(MEV!M:M,MEV!L:L,"approvato",MEV!C:C,"SAP ICC",MEV!H:H,"2026",MEV!I:I,"R.26.05")</f>
        <v>0</v>
      </c>
      <c r="E30" s="108">
        <f>SUMIFS(MEV!N:N,MEV!M:M,"approvato",MEV!D:D,"SAP ICC",MEV!I:I,"2026",MEV!J:J,"R.26.05")</f>
        <v>0</v>
      </c>
      <c r="F30" s="108">
        <f>SUMIFS(MEV!M:M,MEV!L:L,"approvato",MEV!C:C,"SAP ICC",MEV!H:H,"2026",MEV!I:I,"R.26.07")</f>
        <v>0</v>
      </c>
      <c r="G30" s="108">
        <f>SUMIFS(MEV!M:M,MEV!L:L,"approvato",MEV!C:C,"SAP ICC",MEV!H:H,"2026",MEV!I:I,"R.26.10")</f>
        <v>0</v>
      </c>
      <c r="H30" s="92">
        <f t="shared" si="2"/>
        <v>0</v>
      </c>
      <c r="K30" s="89" t="s">
        <v>200</v>
      </c>
      <c r="L30" s="108">
        <f>SUMIFS(MEV!AE:AE,MEV!L:L,"approvato",MEV!C:C,"SAP ICC",MEV!H:H,"2026",MEV!I:I,"R.26.03 EXTRA")</f>
        <v>0</v>
      </c>
      <c r="M30" s="108">
        <f>SUMIFS(MEV!AE:AE,MEV!L:L,"approvato",MEV!C:C,"SAP ICC",MEV!H:H,"2026",MEV!I:I,"R.26.05")</f>
        <v>0</v>
      </c>
      <c r="N30" s="108"/>
      <c r="O30" s="108">
        <f>SUMIFS(MEV!AE:AE,MEV!L:L,"approvato",MEV!C:C,"SAP ICC",MEV!H:H,"2026",MEV!I:I,"R.26.07")</f>
        <v>0</v>
      </c>
      <c r="P30" s="108">
        <f>SUMIFS(MEV!AE:AE,MEV!L:L,"approvato",MEV!C:C,"SAP ICC",MEV!H:H,"2026",MEV!I:I,"R.26.10")</f>
        <v>0</v>
      </c>
      <c r="Q30" s="92">
        <f t="shared" si="3"/>
        <v>0</v>
      </c>
    </row>
    <row r="31" spans="2:17" x14ac:dyDescent="0.2">
      <c r="B31" s="99" t="s">
        <v>199</v>
      </c>
      <c r="C31" s="101">
        <f>SUMIFS(MEV!M:M,MEV!L:L,"approvato",MEV!C:C,"SAP LESS",MEV!H:H,"2026",MEV!I:I,"R.26.03 EXTRA")</f>
        <v>0</v>
      </c>
      <c r="D31" s="101">
        <f>SUMIFS(MEV!M:M,MEV!L:L,"approvato",MEV!C:C,"SAP LESS",MEV!H:H,"2026",MEV!I:I,"R.26.05")</f>
        <v>0</v>
      </c>
      <c r="E31" s="101">
        <f>SUMIFS(MEV!N:N,MEV!M:M,"approvato",MEV!D:D,"SAP LESS",MEV!I:I,"2026",MEV!J:J,"R.26.05")</f>
        <v>0</v>
      </c>
      <c r="F31" s="101">
        <f>SUMIFS(MEV!M:M,MEV!L:L,"approvato",MEV!C:C,"SAP LESS",MEV!H:H,"2026",MEV!I:I,"R.26.07")</f>
        <v>0</v>
      </c>
      <c r="G31" s="101">
        <f>SUMIFS(MEV!M:M,MEV!L:L,"approvato",MEV!C:C,"SAP LESS",MEV!H:H,"2026",MEV!I:I,"R.26.10")</f>
        <v>0</v>
      </c>
      <c r="H31" s="118">
        <f t="shared" si="2"/>
        <v>0</v>
      </c>
      <c r="K31" s="99" t="s">
        <v>199</v>
      </c>
      <c r="L31" s="101">
        <f>SUMIFS(MEV!AE:AE,MEV!L:L,"approvato",MEV!C:C,"SAP LESS",MEV!H:H,"2026",MEV!I:I,"R.26.03 EXTRA")</f>
        <v>0</v>
      </c>
      <c r="M31" s="101">
        <f>SUMIFS(MEV!AE:AE,MEV!L:L,"approvato",MEV!C:C,"SAP LESS",MEV!H:H,"2026",MEV!I:I,"R.26.05")</f>
        <v>0</v>
      </c>
      <c r="N31" s="101"/>
      <c r="O31" s="101">
        <f>SUMIFS(MEV!AE:AE,MEV!L:L,"approvato",MEV!C:C,"SAP LESS",MEV!H:H,"2026",MEV!I:I,"R.26.07")</f>
        <v>0</v>
      </c>
      <c r="P31" s="101">
        <f>SUMIFS(MEV!AE:AE,MEV!L:L,"approvato",MEV!C:C,"SAP LESS",MEV!H:H,"2026",MEV!I:I,"R.26.10")</f>
        <v>0</v>
      </c>
      <c r="Q31" s="118">
        <f t="shared" si="3"/>
        <v>0</v>
      </c>
    </row>
    <row r="32" spans="2:17" x14ac:dyDescent="0.2">
      <c r="B32" s="89" t="s">
        <v>56</v>
      </c>
      <c r="C32" s="108">
        <f>SUMIFS(MEV!M:M,MEV!L:L,"approvato",MEV!C:C,"SGT",MEV!H:H,"2026",MEV!I:I,"R.26.03 EXTRA")</f>
        <v>0</v>
      </c>
      <c r="D32" s="108">
        <f>SUMIFS(MEV!M:M,MEV!L:L,"approvato",MEV!C:C,"SGT",MEV!H:H,"2026",MEV!I:I,"R.26.05")</f>
        <v>0</v>
      </c>
      <c r="E32" s="108">
        <f>SUMIFS(MEV!N:N,MEV!M:M,"approvato",MEV!D:D,"SGT",MEV!I:I,"2026",MEV!J:J,"R.26.05")</f>
        <v>0</v>
      </c>
      <c r="F32" s="108">
        <f>SUMIFS(MEV!M:M,MEV!L:L,"approvato",MEV!C:C,"SGT",MEV!H:H,"2026",MEV!I:I,"R.26.07")</f>
        <v>0</v>
      </c>
      <c r="G32" s="108">
        <f>SUMIFS(MEV!M:M,MEV!L:L,"approvato",MEV!C:C,"SGT",MEV!H:H,"2026",MEV!I:I,"R.26.10")</f>
        <v>0</v>
      </c>
      <c r="H32" s="92">
        <f t="shared" si="2"/>
        <v>0</v>
      </c>
      <c r="K32" s="89" t="s">
        <v>56</v>
      </c>
      <c r="L32" s="108">
        <f>SUMIFS(MEV!AE:AE,MEV!L:L,"approvato",MEV!C:C,"SGT",MEV!H:H,"2026",MEV!I:I,"R.26.03 EXTRA")</f>
        <v>0</v>
      </c>
      <c r="M32" s="108">
        <f>SUMIFS(MEV!AE:AE,MEV!L:L,"approvato",MEV!C:C,"SGT",MEV!H:H,"2026",MEV!I:I,"R.26.05")</f>
        <v>0</v>
      </c>
      <c r="N32" s="108"/>
      <c r="O32" s="108">
        <f>SUMIFS(MEV!AE:AE,MEV!L:L,"approvato",MEV!C:C,"SGT",MEV!H:H,"2026",MEV!I:I,"R.26.07")</f>
        <v>0</v>
      </c>
      <c r="P32" s="108">
        <f>SUMIFS(MEV!AE:AE,MEV!L:L,"approvato",MEV!C:C,"SGT",MEV!H:H,"2026",MEV!I:I,"R.26.10")</f>
        <v>0</v>
      </c>
      <c r="Q32" s="92">
        <f t="shared" si="3"/>
        <v>0</v>
      </c>
    </row>
    <row r="33" spans="2:17" x14ac:dyDescent="0.2">
      <c r="B33" s="99" t="s">
        <v>153</v>
      </c>
      <c r="C33" s="101">
        <f>SUMIFS(MEV!M:M,MEV!L:L,"approvato",MEV!C:C,"SORTING CONTROLLER",MEV!H:H,"2026",MEV!I:I,"R.26.03 EXTRA")</f>
        <v>0</v>
      </c>
      <c r="D33" s="101">
        <f>SUMIFS(MEV!M:M,MEV!L:L,"approvato",MEV!C:C,"SORTING CONTROLLER",MEV!H:H,"2026",MEV!I:I,"R.26.05")</f>
        <v>39673.269999999997</v>
      </c>
      <c r="E33" s="101">
        <f>SUMIFS(MEV!N:N,MEV!M:M,"approvato",MEV!D:D,"SORTING CONTROLLER",MEV!I:I,"2026",MEV!J:J,"R.26.05")</f>
        <v>0</v>
      </c>
      <c r="F33" s="101">
        <f>SUMIFS(MEV!M:M,MEV!L:L,"approvato",MEV!C:C,"SORTING CONTROLLER",MEV!H:H,"2026",MEV!I:I,"R.26.07")</f>
        <v>16327.71</v>
      </c>
      <c r="G33" s="101">
        <f>SUMIFS(MEV!M:M,MEV!L:L,"approvato",MEV!C:C,"SORTING CONTROLLER",MEV!H:H,"2026",MEV!I:I,"R.26.10")</f>
        <v>0</v>
      </c>
      <c r="H33" s="118">
        <f t="shared" si="2"/>
        <v>56000.979999999996</v>
      </c>
      <c r="K33" s="99" t="s">
        <v>153</v>
      </c>
      <c r="L33" s="101">
        <f>SUMIFS(MEV!AE:AE,MEV!L:L,"approvato",MEV!C:C,"SORTING CONTROLLER",MEV!H:H,"2026",MEV!I:I,"R.26.03 EXTRA")</f>
        <v>0</v>
      </c>
      <c r="M33" s="101">
        <f>SUMIFS(MEV!AE:AE,MEV!L:L,"approvato",MEV!C:C,"SORTING CONTROLLER",MEV!H:H,"2026",MEV!I:I,"R.26.05")</f>
        <v>0</v>
      </c>
      <c r="N33" s="101"/>
      <c r="O33" s="101">
        <f>SUMIFS(MEV!AE:AE,MEV!L:L,"approvato",MEV!C:C,"SORTING CONTROLLER",MEV!H:H,"2026",MEV!I:I,"R.26.07")</f>
        <v>0</v>
      </c>
      <c r="P33" s="101">
        <f>SUMIFS(MEV!AE:AE,MEV!L:L,"approvato",MEV!C:C,"SORTING CONTROLLER",MEV!H:H,"2026",MEV!I:I,"R.26.10")</f>
        <v>0</v>
      </c>
      <c r="Q33" s="118">
        <f t="shared" si="3"/>
        <v>0</v>
      </c>
    </row>
    <row r="34" spans="2:17" x14ac:dyDescent="0.2">
      <c r="B34" s="89" t="s">
        <v>51</v>
      </c>
      <c r="C34" s="108">
        <f>SUMIFS(MEV!M:M,MEV!L:L,"approvato",MEV!C:C,"SP1",MEV!H:H,"2026",MEV!I:I,"R.26.03 EXTRA")</f>
        <v>0</v>
      </c>
      <c r="D34" s="108">
        <f>SUMIFS(MEV!M:M,MEV!L:L,"approvato",MEV!C:C,"SP1",MEV!H:H,"2026",MEV!I:I,"R.26.05")</f>
        <v>0</v>
      </c>
      <c r="E34" s="108">
        <f>SUMIFS(MEV!M:M,MEV!L:L,"approvato",MEV!C:C,"SP1",MEV!H:H,"2026",MEV!I:I,"R.26.06")</f>
        <v>82448.460000000006</v>
      </c>
      <c r="F34" s="108">
        <f>SUMIFS(MEV!M:M,MEV!L:L,"approvato",MEV!C:C,"SP1",MEV!H:H,"2026",MEV!I:I,"R.26.07")</f>
        <v>0</v>
      </c>
      <c r="G34" s="108">
        <f>SUMIFS(MEV!M:M,MEV!L:L,"approvato",MEV!C:C,"SP1",MEV!H:H,"2026",MEV!I:I,"R.26.10")</f>
        <v>0</v>
      </c>
      <c r="H34" s="92">
        <f t="shared" si="2"/>
        <v>82448.460000000006</v>
      </c>
      <c r="K34" s="89" t="s">
        <v>51</v>
      </c>
      <c r="L34" s="108">
        <f>SUMIFS(MEV!AE:AE,MEV!L:L,"approvato",MEV!C:C,"SP1",MEV!H:H,"2026",MEV!I:I,"R.26.03 EXTRA")</f>
        <v>0</v>
      </c>
      <c r="M34" s="108">
        <f>SUMIFS(MEV!AE:AE,MEV!L:L,"approvato",MEV!C:C,"SP1",MEV!H:H,"2026",MEV!I:I,"R.26.05")</f>
        <v>0</v>
      </c>
      <c r="N34" s="108">
        <f>SUMIFS(MEV!AE:AE,MEV!L:L,"approvato",MEV!C:C,"SP1",MEV!H:H,"2026",MEV!I:I,"R.26.06")</f>
        <v>0</v>
      </c>
      <c r="O34" s="108">
        <f>SUMIFS(MEV!AE:AE,MEV!L:L,"approvato",MEV!C:C,"SP1",MEV!H:H,"2026",MEV!I:I,"R.26.07")</f>
        <v>0</v>
      </c>
      <c r="P34" s="108">
        <f>SUMIFS(MEV!AE:AE,MEV!L:L,"approvato",MEV!C:C,"SP1",MEV!H:H,"2026",MEV!I:I,"R.26.10")</f>
        <v>0</v>
      </c>
      <c r="Q34" s="92">
        <f t="shared" si="3"/>
        <v>0</v>
      </c>
    </row>
    <row r="35" spans="2:17" x14ac:dyDescent="0.2">
      <c r="B35" s="99" t="s">
        <v>53</v>
      </c>
      <c r="C35" s="101">
        <f>SUMIFS(MEV!M:M,MEV!L:L,"approvato",MEV!C:C,"WFM",MEV!H:H,"2026",MEV!I:I,"R.26.03 EXTRA EXTRA")</f>
        <v>0</v>
      </c>
      <c r="D35" s="101">
        <f>SUMIFS(MEV!M:M,MEV!L:L,"approvato",MEV!C:C,"WFM",MEV!H:H,"2026",MEV!I:I,"R.26.05")</f>
        <v>0</v>
      </c>
      <c r="E35" s="101">
        <f>SUMIFS(MEV!N:N,MEV!M:M,"approvato",MEV!D:D,"WFM",MEV!I:I,"2026",MEV!J:J,"R.26.05")</f>
        <v>0</v>
      </c>
      <c r="F35" s="101">
        <f>SUMIFS(MEV!M:M,MEV!L:L,"approvato",MEV!C:C,"WFM",MEV!H:H,"2026",MEV!I:I,"R.26.07")</f>
        <v>0</v>
      </c>
      <c r="G35" s="101">
        <f>SUMIFS(MEV!M:M,MEV!L:L,"approvato",MEV!C:C,"WFM",MEV!H:H,"2026",MEV!I:I,"R.26.10")</f>
        <v>0</v>
      </c>
      <c r="H35" s="118">
        <f t="shared" si="2"/>
        <v>0</v>
      </c>
      <c r="K35" s="99" t="s">
        <v>53</v>
      </c>
      <c r="L35" s="101">
        <f>SUMIFS(MEV!AE:AE,MEV!L:L,"approvato",MEV!C:C,"SP1",MEV!H:H,"2026",MEV!I:I,"R.26.03 EXTRA")</f>
        <v>0</v>
      </c>
      <c r="M35" s="101">
        <f>SUMIFS(MEV!AE:AE,MEV!L:L,"approvato",MEV!C:C,"SP1",MEV!H:H,"2026",MEV!I:I,"R.26.05")</f>
        <v>0</v>
      </c>
      <c r="N35" s="101"/>
      <c r="O35" s="101">
        <f>SUMIFS(MEV!AE:AE,MEV!L:L,"approvato",MEV!C:C,"SP1",MEV!H:H,"2026",MEV!I:I,"R.26.07")</f>
        <v>0</v>
      </c>
      <c r="P35" s="101">
        <f>SUMIFS(MEV!AE:AE,MEV!L:L,"approvato",MEV!C:C,"SP1",MEV!H:H,"2026",MEV!I:I,"R.26.10")</f>
        <v>0</v>
      </c>
      <c r="Q35" s="118">
        <f t="shared" si="3"/>
        <v>0</v>
      </c>
    </row>
    <row r="36" spans="2:17" x14ac:dyDescent="0.2">
      <c r="B36" s="89" t="s">
        <v>40</v>
      </c>
      <c r="C36" s="108">
        <f>SUMIFS(MEV!M:M,MEV!L:L,"approvato",MEV!C:C,"WIPI",MEV!H:H,"2026",MEV!I:I,"R.26.03_EXTRA")</f>
        <v>13274.02</v>
      </c>
      <c r="D36" s="108">
        <f>SUMIFS(MEV!M:M,MEV!L:L,"approvato",MEV!C:C,"WIPI",MEV!H:H,"2026",MEV!I:I,"R.26.05")</f>
        <v>0</v>
      </c>
      <c r="E36" s="108">
        <f>SUMIFS(MEV!N:N,MEV!M:M,"approvato",MEV!D:D,"WIPI",MEV!I:I,"2026",MEV!J:J,"R.26.05")</f>
        <v>0</v>
      </c>
      <c r="F36" s="108">
        <f>SUMIFS(MEV!M:M,MEV!L:L,"approvato",MEV!C:C,"WIPI",MEV!H:H,"2026",MEV!I:I,"R.26.07")</f>
        <v>0</v>
      </c>
      <c r="G36" s="108">
        <f>SUMIFS(MEV!M:M,MEV!L:L,"approvato",MEV!C:C,"WIPI",MEV!H:H,"2026",MEV!I:I,"R.26.10")</f>
        <v>0</v>
      </c>
      <c r="H36" s="92">
        <f t="shared" si="2"/>
        <v>13274.02</v>
      </c>
      <c r="K36" s="89" t="s">
        <v>40</v>
      </c>
      <c r="L36" s="108">
        <f>SUMIFS(MEV!AE:AE,MEV!L:L,"approvato",MEV!C:C,"WIPI",MEV!H:H,"2026",MEV!I:I,"R.26.03_EXTRA")</f>
        <v>0</v>
      </c>
      <c r="M36" s="108">
        <f>SUMIFS(MEV!AE:AE,MEV!L:L,"approvato",MEV!C:C,"WIPI",MEV!H:H,"2026",MEV!I:I,"R.26.05")</f>
        <v>0</v>
      </c>
      <c r="N36" s="108"/>
      <c r="O36" s="108">
        <f>SUMIFS(MEV!AE:AE,MEV!L:L,"approvato",MEV!C:C,"WIPI",MEV!H:H,"2026",MEV!I:I,"R.26.07")</f>
        <v>0</v>
      </c>
      <c r="P36" s="108">
        <f>SUMIFS(MEV!AE:AE,MEV!L:L,"approvato",MEV!C:C,"WIPI",MEV!H:H,"2026",MEV!I:I,"R.26.10")</f>
        <v>0</v>
      </c>
      <c r="Q36" s="92">
        <f t="shared" si="3"/>
        <v>0</v>
      </c>
    </row>
    <row r="37" spans="2:17" x14ac:dyDescent="0.2">
      <c r="B37" s="99" t="s">
        <v>1069</v>
      </c>
      <c r="C37" s="101">
        <f>SUMIFS(MEV!M:M,MEV!L:L,"approvato",MEV!C:C,"COLLAUDO",MEV!H:H,"2026",MEV!I:I,"R.26.03_EXTRA")</f>
        <v>0</v>
      </c>
      <c r="D37" s="101">
        <f>SUMIFS(MEV!M:M,MEV!L:L,"approvato",MEV!C:C,"COLLAUDO",MEV!H:H,"2026",MEV!I:I,"R.26.05")</f>
        <v>0</v>
      </c>
      <c r="E37" s="101">
        <f>SUMIFS(MEV!M:M,MEV!L:L,"approvato",MEV!C:C,"COLLAUDO",MEV!H:H,"2026",MEV!I:I,"R.26.06")</f>
        <v>0</v>
      </c>
      <c r="F37" s="101">
        <f>SUMIFS(MEV!M:M,MEV!L:L,"approvato",MEV!C:C,"COLLAUDO",MEV!H:H,"2026",MEV!I:I,"R.26.07")</f>
        <v>0</v>
      </c>
      <c r="G37" s="101">
        <f>SUMIFS(MEV!M:M,MEV!L:L,"approvato",MEV!C:C,"COLLAUDO",MEV!H:H,"2026",MEV!I:I,"R.26.10")</f>
        <v>0</v>
      </c>
      <c r="H37" s="118">
        <f t="shared" ref="H37:H38" si="4">SUM(C37:G37)</f>
        <v>0</v>
      </c>
      <c r="K37" s="99" t="s">
        <v>1069</v>
      </c>
      <c r="L37" s="101"/>
      <c r="M37" s="101">
        <f>SUMIFS(MEV!AE:AE,MEV!L:L,"approvato",MEV!C:C,"COLLAUDO",MEV!H:H,"2026",MEV!I:I,"R.26.05")</f>
        <v>0</v>
      </c>
      <c r="N37" s="101">
        <f>SUMIFS(MEV!AE:AE,MEV!L:L,"approvato",MEV!C:C,"COLLAUDO",MEV!H:H,"2026",MEV!I:I,"R.26.06")</f>
        <v>0</v>
      </c>
      <c r="O37" s="101">
        <f>SUMIFS(MEV!AE:AE,MEV!L:L,"approvato",MEV!C:C,"COLLAUDO",MEV!H:H,"2026",MEV!I:I,"R.26.07")</f>
        <v>0</v>
      </c>
      <c r="P37" s="101">
        <f>SUMIFS(MEV!AE:AE,MEV!L:L,"approvato",MEV!C:C,"COLLAUDO",MEV!H:H,"2026",MEV!I:I,"R.26.10")</f>
        <v>0</v>
      </c>
      <c r="Q37" s="118">
        <f t="shared" ref="Q37:Q38" si="5">SUM(L37:P37)</f>
        <v>0</v>
      </c>
    </row>
    <row r="38" spans="2:17" ht="15" thickBot="1" x14ac:dyDescent="0.25">
      <c r="B38" s="89" t="s">
        <v>940</v>
      </c>
      <c r="C38" s="108">
        <f>SUMIFS(MEV!M:M,MEV!L:L,"approvato",MEV!C:C,"PRESIDIO",MEV!H:H,"2026",MEV!I:I,"R.26.03_EXTRA")</f>
        <v>0</v>
      </c>
      <c r="D38" s="108">
        <f>SUMIFS(MEV!M:M,MEV!L:L,"approvato",MEV!C:C,"PRESIDIO",MEV!H:H,"2026",MEV!I:I,"R.26.05")</f>
        <v>38658</v>
      </c>
      <c r="E38" s="108">
        <f>SUMIFS(MEV!M:M,MEV!L:L,"approvato",MEV!C:C,"PRESIDIO",MEV!H:H,"2026",MEV!I:I,"R.26.06")</f>
        <v>0</v>
      </c>
      <c r="F38" s="108">
        <f>SUMIFS(MEV!M:M,MEV!L:L,"approvato",MEV!C:C,"PRESIDIO",MEV!H:H,"2026",MEV!I:I,"R.26.07")</f>
        <v>0</v>
      </c>
      <c r="G38" s="108">
        <f>SUMIFS(MEV!M:M,MEV!L:L,"approvato",MEV!C:C,"PRESIDIO",MEV!H:H,"2026",MEV!I:I,"R.26.10")</f>
        <v>0</v>
      </c>
      <c r="H38" s="92">
        <f t="shared" si="4"/>
        <v>38658</v>
      </c>
      <c r="K38" s="89" t="s">
        <v>940</v>
      </c>
      <c r="L38" s="108"/>
      <c r="M38" s="108">
        <f>SUMIFS(MEV!AE:AE,MEV!L:L,"approvato",MEV!C:C,"PRESIDIO",MEV!H:H,"2026",MEV!I:I,"R.26.05")</f>
        <v>38658</v>
      </c>
      <c r="N38" s="108">
        <f>SUMIFS(MEV!AE:AE,MEV!L:L,"approvato",MEV!C:C,"PRESIDIO",MEV!H:H,"2026",MEV!I:I,"R.26.06")</f>
        <v>0</v>
      </c>
      <c r="O38" s="108">
        <f>SUMIFS(MEV!AE:AE,MEV!L:L,"approvato",MEV!C:C,"PRESIDIO",MEV!H:H,"2026",MEV!I:I,"R.26.07")</f>
        <v>0</v>
      </c>
      <c r="P38" s="108">
        <f>SUMIFS(MEV!AE:AE,MEV!L:L,"approvato",MEV!C:C,"PRESIDIO",MEV!H:H,"2026",MEV!I:I,"R.26.10")</f>
        <v>0</v>
      </c>
      <c r="Q38" s="92">
        <f t="shared" si="5"/>
        <v>38658</v>
      </c>
    </row>
    <row r="39" spans="2:17" ht="16" thickTop="1" thickBot="1" x14ac:dyDescent="0.25">
      <c r="B39" s="114" t="s">
        <v>73</v>
      </c>
      <c r="C39" s="138">
        <f t="shared" ref="C39:G39" si="6">SUM(C20:C38)</f>
        <v>13274.02</v>
      </c>
      <c r="D39" s="138">
        <f t="shared" si="6"/>
        <v>750941.92</v>
      </c>
      <c r="E39" s="138">
        <f t="shared" si="6"/>
        <v>250716.69</v>
      </c>
      <c r="F39" s="138">
        <f t="shared" si="6"/>
        <v>383303.32</v>
      </c>
      <c r="G39" s="138">
        <f t="shared" si="6"/>
        <v>188237.73</v>
      </c>
      <c r="H39" s="138">
        <f>SUM(H20:H38)</f>
        <v>1586473.68</v>
      </c>
      <c r="K39" s="114" t="s">
        <v>73</v>
      </c>
      <c r="L39" s="138">
        <f>SUM(L20:L38)</f>
        <v>0</v>
      </c>
      <c r="M39" s="138">
        <f t="shared" ref="M39:Q39" si="7">SUM(M20:M38)</f>
        <v>38658</v>
      </c>
      <c r="N39" s="138">
        <f t="shared" si="7"/>
        <v>0</v>
      </c>
      <c r="O39" s="138">
        <f t="shared" si="7"/>
        <v>0</v>
      </c>
      <c r="P39" s="138">
        <f t="shared" si="7"/>
        <v>0</v>
      </c>
      <c r="Q39" s="138">
        <f t="shared" si="7"/>
        <v>38658</v>
      </c>
    </row>
    <row r="40" spans="2:17" ht="15" thickTop="1" x14ac:dyDescent="0.2">
      <c r="B40" s="141"/>
      <c r="C40" s="463"/>
      <c r="D40" s="463"/>
      <c r="E40" s="463"/>
      <c r="F40" s="463"/>
      <c r="G40" s="463"/>
      <c r="K40" s="141"/>
      <c r="L40" s="463"/>
      <c r="M40" s="463"/>
      <c r="N40" s="463"/>
      <c r="O40" s="463"/>
      <c r="P40" s="463"/>
    </row>
    <row r="72" spans="3:3" x14ac:dyDescent="0.2">
      <c r="C72" s="2" t="s">
        <v>909</v>
      </c>
    </row>
  </sheetData>
  <phoneticPr fontId="13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327C-D229-44F7-9781-B2BAEA824AF3}">
  <sheetPr codeName="Foglio9"/>
  <dimension ref="B2:K24"/>
  <sheetViews>
    <sheetView topLeftCell="A8" workbookViewId="0">
      <selection activeCell="G13" sqref="G13:G15"/>
    </sheetView>
  </sheetViews>
  <sheetFormatPr baseColWidth="10" defaultColWidth="8.83203125" defaultRowHeight="13" x14ac:dyDescent="0.2"/>
  <cols>
    <col min="1" max="1" width="2.6640625" style="437" customWidth="1"/>
    <col min="2" max="2" width="8.1640625" style="437" bestFit="1" customWidth="1"/>
    <col min="3" max="3" width="16.83203125" style="437" customWidth="1"/>
    <col min="4" max="4" width="43.83203125" style="437" customWidth="1"/>
    <col min="5" max="5" width="35.83203125" style="437" customWidth="1"/>
    <col min="6" max="6" width="24.83203125" style="437" customWidth="1"/>
    <col min="7" max="7" width="14" style="437" customWidth="1"/>
    <col min="8" max="8" width="11.33203125" style="437" customWidth="1"/>
    <col min="9" max="11" width="9.5" style="437" customWidth="1"/>
    <col min="12" max="16384" width="8.83203125" style="437"/>
  </cols>
  <sheetData>
    <row r="2" spans="2:11" x14ac:dyDescent="0.2">
      <c r="B2" s="614" t="s">
        <v>794</v>
      </c>
      <c r="C2" s="614"/>
      <c r="D2" s="614"/>
      <c r="E2" s="614"/>
      <c r="F2" s="614"/>
      <c r="G2" s="614"/>
      <c r="H2" s="614"/>
      <c r="I2" s="614"/>
      <c r="J2" s="614"/>
      <c r="K2" s="614"/>
    </row>
    <row r="3" spans="2:11" x14ac:dyDescent="0.2">
      <c r="B3" s="615" t="s">
        <v>795</v>
      </c>
      <c r="C3" s="615" t="s">
        <v>796</v>
      </c>
      <c r="D3" s="615" t="s">
        <v>797</v>
      </c>
      <c r="E3" s="615" t="s">
        <v>798</v>
      </c>
      <c r="F3" s="615" t="s">
        <v>799</v>
      </c>
      <c r="G3" s="615" t="s">
        <v>800</v>
      </c>
      <c r="H3" s="615" t="s">
        <v>801</v>
      </c>
      <c r="I3" s="615"/>
      <c r="J3" s="615"/>
      <c r="K3" s="615"/>
    </row>
    <row r="4" spans="2:11" ht="24" x14ac:dyDescent="0.2">
      <c r="B4" s="615"/>
      <c r="C4" s="615"/>
      <c r="D4" s="615"/>
      <c r="E4" s="615"/>
      <c r="F4" s="615"/>
      <c r="G4" s="615"/>
      <c r="H4" s="438" t="s">
        <v>803</v>
      </c>
      <c r="I4" s="438" t="s">
        <v>804</v>
      </c>
      <c r="J4" s="438" t="s">
        <v>805</v>
      </c>
      <c r="K4" s="438" t="s">
        <v>806</v>
      </c>
    </row>
    <row r="5" spans="2:11" ht="36" x14ac:dyDescent="0.2">
      <c r="B5" s="439" t="s">
        <v>807</v>
      </c>
      <c r="C5" s="439" t="s">
        <v>808</v>
      </c>
      <c r="D5" s="440" t="s">
        <v>809</v>
      </c>
      <c r="E5" s="441" t="s">
        <v>810</v>
      </c>
      <c r="F5" s="441" t="s">
        <v>811</v>
      </c>
      <c r="G5" s="439" t="s">
        <v>812</v>
      </c>
      <c r="H5" s="442">
        <v>0.3</v>
      </c>
      <c r="I5" s="442">
        <v>0.3</v>
      </c>
      <c r="J5" s="443" t="s">
        <v>813</v>
      </c>
      <c r="K5" s="443" t="s">
        <v>813</v>
      </c>
    </row>
    <row r="6" spans="2:11" ht="24" x14ac:dyDescent="0.2">
      <c r="B6" s="439" t="s">
        <v>814</v>
      </c>
      <c r="C6" s="439" t="s">
        <v>815</v>
      </c>
      <c r="D6" s="440" t="s">
        <v>816</v>
      </c>
      <c r="E6" s="441" t="s">
        <v>817</v>
      </c>
      <c r="F6" s="441" t="s">
        <v>818</v>
      </c>
      <c r="G6" s="439" t="s">
        <v>812</v>
      </c>
      <c r="H6" s="442">
        <v>0.2</v>
      </c>
      <c r="I6" s="442">
        <v>0.2</v>
      </c>
      <c r="J6" s="442">
        <v>0.2</v>
      </c>
      <c r="K6" s="442">
        <v>0.2</v>
      </c>
    </row>
    <row r="7" spans="2:11" ht="60" x14ac:dyDescent="0.2">
      <c r="B7" s="439" t="s">
        <v>819</v>
      </c>
      <c r="C7" s="439" t="s">
        <v>820</v>
      </c>
      <c r="D7" s="441" t="s">
        <v>821</v>
      </c>
      <c r="E7" s="440" t="s">
        <v>822</v>
      </c>
      <c r="F7" s="440" t="s">
        <v>823</v>
      </c>
      <c r="G7" s="439" t="s">
        <v>812</v>
      </c>
      <c r="H7" s="442">
        <v>0.35</v>
      </c>
      <c r="I7" s="442">
        <v>0.35</v>
      </c>
      <c r="J7" s="442">
        <v>0.75</v>
      </c>
      <c r="K7" s="442">
        <v>0.75</v>
      </c>
    </row>
    <row r="8" spans="2:11" ht="24" x14ac:dyDescent="0.2">
      <c r="B8" s="439" t="s">
        <v>863</v>
      </c>
      <c r="C8" s="439" t="s">
        <v>824</v>
      </c>
      <c r="D8" s="441" t="s">
        <v>825</v>
      </c>
      <c r="E8" s="441" t="s">
        <v>826</v>
      </c>
      <c r="F8" s="441" t="s">
        <v>827</v>
      </c>
      <c r="G8" s="439" t="s">
        <v>812</v>
      </c>
      <c r="H8" s="442">
        <v>0.1</v>
      </c>
      <c r="I8" s="442">
        <v>0.1</v>
      </c>
      <c r="J8" s="443" t="s">
        <v>813</v>
      </c>
      <c r="K8" s="443" t="s">
        <v>813</v>
      </c>
    </row>
    <row r="9" spans="2:11" ht="36" x14ac:dyDescent="0.2">
      <c r="B9" s="439" t="s">
        <v>828</v>
      </c>
      <c r="C9" s="439" t="s">
        <v>829</v>
      </c>
      <c r="D9" s="441" t="s">
        <v>830</v>
      </c>
      <c r="E9" s="441" t="s">
        <v>831</v>
      </c>
      <c r="F9" s="441" t="s">
        <v>811</v>
      </c>
      <c r="G9" s="439" t="s">
        <v>812</v>
      </c>
      <c r="H9" s="442">
        <v>0.05</v>
      </c>
      <c r="I9" s="442">
        <v>0.05</v>
      </c>
      <c r="J9" s="442">
        <v>0.05</v>
      </c>
      <c r="K9" s="442">
        <v>0.05</v>
      </c>
    </row>
    <row r="10" spans="2:11" ht="14" thickBot="1" x14ac:dyDescent="0.25"/>
    <row r="11" spans="2:11" x14ac:dyDescent="0.2">
      <c r="B11" s="611" t="s">
        <v>832</v>
      </c>
      <c r="C11" s="612"/>
      <c r="D11" s="612"/>
      <c r="E11" s="612"/>
      <c r="F11" s="612"/>
      <c r="G11" s="612"/>
      <c r="H11" s="613"/>
    </row>
    <row r="12" spans="2:11" ht="36" x14ac:dyDescent="0.2">
      <c r="B12" s="438" t="s">
        <v>795</v>
      </c>
      <c r="C12" s="438" t="s">
        <v>796</v>
      </c>
      <c r="D12" s="438" t="s">
        <v>797</v>
      </c>
      <c r="E12" s="438" t="s">
        <v>798</v>
      </c>
      <c r="F12" s="438" t="s">
        <v>799</v>
      </c>
      <c r="G12" s="438" t="s">
        <v>833</v>
      </c>
      <c r="H12" s="438" t="s">
        <v>834</v>
      </c>
    </row>
    <row r="13" spans="2:11" ht="48" x14ac:dyDescent="0.2">
      <c r="B13" s="439" t="s">
        <v>835</v>
      </c>
      <c r="C13" s="439" t="s">
        <v>836</v>
      </c>
      <c r="D13" s="447" t="s">
        <v>837</v>
      </c>
      <c r="E13" s="439" t="s">
        <v>838</v>
      </c>
      <c r="F13" s="443" t="s">
        <v>811</v>
      </c>
      <c r="G13" s="444" t="s">
        <v>839</v>
      </c>
      <c r="H13" s="442">
        <v>0.3</v>
      </c>
    </row>
    <row r="14" spans="2:11" ht="48" x14ac:dyDescent="0.2">
      <c r="B14" s="439" t="s">
        <v>840</v>
      </c>
      <c r="C14" s="439" t="s">
        <v>841</v>
      </c>
      <c r="D14" s="439" t="s">
        <v>842</v>
      </c>
      <c r="E14" s="439" t="s">
        <v>838</v>
      </c>
      <c r="F14" s="443" t="s">
        <v>811</v>
      </c>
      <c r="G14" s="444" t="s">
        <v>839</v>
      </c>
      <c r="H14" s="442">
        <v>0.3</v>
      </c>
    </row>
    <row r="15" spans="2:11" ht="48" x14ac:dyDescent="0.2">
      <c r="B15" s="439" t="s">
        <v>843</v>
      </c>
      <c r="C15" s="444" t="s">
        <v>844</v>
      </c>
      <c r="D15" s="439" t="s">
        <v>845</v>
      </c>
      <c r="E15" s="439" t="s">
        <v>846</v>
      </c>
      <c r="F15" s="443" t="s">
        <v>811</v>
      </c>
      <c r="G15" s="444" t="s">
        <v>839</v>
      </c>
      <c r="H15" s="442">
        <v>0.4</v>
      </c>
    </row>
    <row r="16" spans="2:11" x14ac:dyDescent="0.2">
      <c r="B16" s="607" t="s">
        <v>847</v>
      </c>
      <c r="C16" s="607"/>
      <c r="D16" s="607"/>
      <c r="E16" s="607"/>
      <c r="F16" s="608"/>
      <c r="G16" s="608"/>
      <c r="H16" s="445">
        <v>1</v>
      </c>
    </row>
    <row r="17" spans="2:6" ht="14" thickBot="1" x14ac:dyDescent="0.25"/>
    <row r="18" spans="2:6" x14ac:dyDescent="0.2">
      <c r="B18" s="611" t="s">
        <v>864</v>
      </c>
      <c r="C18" s="612"/>
      <c r="D18" s="612"/>
      <c r="E18" s="612"/>
      <c r="F18" s="612"/>
    </row>
    <row r="19" spans="2:6" x14ac:dyDescent="0.2">
      <c r="B19" s="446" t="s">
        <v>848</v>
      </c>
      <c r="C19" s="446" t="s">
        <v>849</v>
      </c>
      <c r="D19" s="446" t="s">
        <v>850</v>
      </c>
      <c r="E19" s="446" t="s">
        <v>833</v>
      </c>
      <c r="F19" s="446" t="s">
        <v>802</v>
      </c>
    </row>
    <row r="20" spans="2:6" ht="24" x14ac:dyDescent="0.2">
      <c r="B20" s="443">
        <v>1</v>
      </c>
      <c r="C20" s="444" t="s">
        <v>851</v>
      </c>
      <c r="D20" s="439" t="s">
        <v>852</v>
      </c>
      <c r="E20" s="439" t="s">
        <v>853</v>
      </c>
      <c r="F20" s="439" t="s">
        <v>854</v>
      </c>
    </row>
    <row r="21" spans="2:6" ht="36" x14ac:dyDescent="0.2">
      <c r="B21" s="609">
        <v>2</v>
      </c>
      <c r="C21" s="610" t="s">
        <v>820</v>
      </c>
      <c r="D21" s="439" t="s">
        <v>855</v>
      </c>
      <c r="E21" s="610" t="s">
        <v>853</v>
      </c>
      <c r="F21" s="610" t="s">
        <v>856</v>
      </c>
    </row>
    <row r="22" spans="2:6" ht="36" x14ac:dyDescent="0.2">
      <c r="B22" s="609"/>
      <c r="C22" s="610"/>
      <c r="D22" s="439" t="s">
        <v>857</v>
      </c>
      <c r="E22" s="610"/>
      <c r="F22" s="610"/>
    </row>
    <row r="23" spans="2:6" ht="36" x14ac:dyDescent="0.2">
      <c r="B23" s="443">
        <v>3</v>
      </c>
      <c r="C23" s="439" t="s">
        <v>858</v>
      </c>
      <c r="D23" s="439" t="s">
        <v>859</v>
      </c>
      <c r="E23" s="439" t="s">
        <v>839</v>
      </c>
      <c r="F23" s="439" t="s">
        <v>856</v>
      </c>
    </row>
    <row r="24" spans="2:6" ht="36" x14ac:dyDescent="0.2">
      <c r="B24" s="443">
        <v>4</v>
      </c>
      <c r="C24" s="441" t="s">
        <v>860</v>
      </c>
      <c r="D24" s="441" t="s">
        <v>861</v>
      </c>
      <c r="E24" s="439" t="s">
        <v>839</v>
      </c>
      <c r="F24" s="439" t="s">
        <v>862</v>
      </c>
    </row>
  </sheetData>
  <mergeCells count="16">
    <mergeCell ref="B11:H11"/>
    <mergeCell ref="B2:K2"/>
    <mergeCell ref="B3:B4"/>
    <mergeCell ref="C3:C4"/>
    <mergeCell ref="D3:D4"/>
    <mergeCell ref="E3:E4"/>
    <mergeCell ref="F3:F4"/>
    <mergeCell ref="G3:G4"/>
    <mergeCell ref="H3:K3"/>
    <mergeCell ref="B16:E16"/>
    <mergeCell ref="F16:G16"/>
    <mergeCell ref="B21:B22"/>
    <mergeCell ref="C21:C22"/>
    <mergeCell ref="E21:E22"/>
    <mergeCell ref="F21:F22"/>
    <mergeCell ref="B18:F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D948-543C-48FA-87A0-BC46E95959A4}">
  <sheetPr codeName="Foglio10"/>
  <dimension ref="B2:M75"/>
  <sheetViews>
    <sheetView topLeftCell="A2" workbookViewId="0">
      <selection activeCell="J7" sqref="J7"/>
    </sheetView>
  </sheetViews>
  <sheetFormatPr baseColWidth="10" defaultColWidth="8.83203125" defaultRowHeight="14" x14ac:dyDescent="0.2"/>
  <cols>
    <col min="1" max="1" width="2.83203125" style="2" customWidth="1"/>
    <col min="2" max="2" width="11.33203125" style="2" customWidth="1"/>
    <col min="3" max="3" width="12.83203125" style="2" customWidth="1"/>
    <col min="4" max="4" width="18.83203125" style="2" bestFit="1" customWidth="1"/>
    <col min="5" max="9" width="12.83203125" style="2" customWidth="1"/>
    <col min="10" max="10" width="18.83203125" style="2" bestFit="1" customWidth="1"/>
    <col min="11" max="11" width="17.1640625" style="2" bestFit="1" customWidth="1"/>
    <col min="12" max="12" width="26.83203125" style="2" bestFit="1" customWidth="1"/>
    <col min="13" max="13" width="12.83203125" style="2" customWidth="1"/>
    <col min="14" max="14" width="8.83203125" style="2"/>
    <col min="15" max="15" width="16.1640625" style="2" customWidth="1"/>
    <col min="16" max="17" width="15.83203125" style="2" customWidth="1"/>
    <col min="18" max="16384" width="8.83203125" style="2"/>
  </cols>
  <sheetData>
    <row r="2" spans="2:13" ht="31" thickBot="1" x14ac:dyDescent="0.25">
      <c r="B2" s="73" t="s">
        <v>160</v>
      </c>
      <c r="C2" s="73" t="s">
        <v>161</v>
      </c>
      <c r="D2" s="73" t="s">
        <v>22</v>
      </c>
      <c r="E2" s="74" t="s">
        <v>196</v>
      </c>
      <c r="F2" s="74" t="s">
        <v>112</v>
      </c>
      <c r="G2" s="74" t="s">
        <v>113</v>
      </c>
      <c r="H2" s="74" t="s">
        <v>114</v>
      </c>
      <c r="I2" s="74" t="s">
        <v>115</v>
      </c>
      <c r="J2" s="74" t="s">
        <v>632</v>
      </c>
      <c r="K2" s="74" t="s">
        <v>195</v>
      </c>
      <c r="L2" s="74" t="s">
        <v>0</v>
      </c>
      <c r="M2" s="74" t="s">
        <v>622</v>
      </c>
    </row>
    <row r="3" spans="2:13" x14ac:dyDescent="0.2">
      <c r="B3" s="7" t="s">
        <v>43</v>
      </c>
      <c r="C3" s="7" t="s">
        <v>29</v>
      </c>
      <c r="D3" s="7" t="s">
        <v>38</v>
      </c>
      <c r="E3" s="72" t="s">
        <v>706</v>
      </c>
      <c r="F3" s="7" t="s">
        <v>983</v>
      </c>
      <c r="G3" s="70" t="s">
        <v>140</v>
      </c>
      <c r="H3" s="70" t="s">
        <v>167</v>
      </c>
      <c r="I3" s="70" t="s">
        <v>183</v>
      </c>
      <c r="J3" s="7" t="s">
        <v>36</v>
      </c>
      <c r="K3" s="7" t="s">
        <v>27</v>
      </c>
      <c r="L3" s="7" t="s">
        <v>181</v>
      </c>
      <c r="M3" s="7" t="s">
        <v>623</v>
      </c>
    </row>
    <row r="4" spans="2:13" x14ac:dyDescent="0.2">
      <c r="B4" s="7" t="s">
        <v>197</v>
      </c>
      <c r="C4" s="7" t="s">
        <v>24</v>
      </c>
      <c r="D4" s="7" t="s">
        <v>65</v>
      </c>
      <c r="E4" s="72" t="s">
        <v>707</v>
      </c>
      <c r="F4" s="7" t="s">
        <v>129</v>
      </c>
      <c r="G4" s="71" t="s">
        <v>141</v>
      </c>
      <c r="H4" s="71" t="s">
        <v>168</v>
      </c>
      <c r="I4" s="71" t="s">
        <v>184</v>
      </c>
      <c r="J4" s="7" t="s">
        <v>52</v>
      </c>
      <c r="K4" s="7" t="s">
        <v>31</v>
      </c>
      <c r="L4" s="7" t="s">
        <v>179</v>
      </c>
      <c r="M4" s="7" t="s">
        <v>202</v>
      </c>
    </row>
    <row r="5" spans="2:13" x14ac:dyDescent="0.2">
      <c r="B5" s="7" t="s">
        <v>58</v>
      </c>
      <c r="C5" s="7" t="s">
        <v>34</v>
      </c>
      <c r="D5" s="7" t="s">
        <v>37</v>
      </c>
      <c r="E5" s="72" t="s">
        <v>708</v>
      </c>
      <c r="F5" s="7" t="s">
        <v>133</v>
      </c>
      <c r="G5" s="70" t="s">
        <v>142</v>
      </c>
      <c r="H5" s="70" t="s">
        <v>169</v>
      </c>
      <c r="I5" s="70" t="s">
        <v>185</v>
      </c>
      <c r="J5" s="7" t="s">
        <v>44</v>
      </c>
      <c r="K5" s="7" t="s">
        <v>165</v>
      </c>
      <c r="L5" s="7" t="s">
        <v>166</v>
      </c>
      <c r="M5" s="7" t="s">
        <v>203</v>
      </c>
    </row>
    <row r="6" spans="2:13" x14ac:dyDescent="0.2">
      <c r="B6" s="7" t="s">
        <v>57</v>
      </c>
      <c r="C6" s="7" t="s">
        <v>876</v>
      </c>
      <c r="D6" s="7" t="s">
        <v>25</v>
      </c>
      <c r="E6" s="72" t="s">
        <v>709</v>
      </c>
      <c r="F6" s="7" t="s">
        <v>134</v>
      </c>
      <c r="G6" s="71" t="s">
        <v>143</v>
      </c>
      <c r="H6" s="71" t="s">
        <v>170</v>
      </c>
      <c r="I6" s="71" t="s">
        <v>186</v>
      </c>
      <c r="J6" s="7" t="s">
        <v>988</v>
      </c>
      <c r="K6" s="7"/>
      <c r="L6" s="7" t="s">
        <v>180</v>
      </c>
      <c r="M6" s="7" t="s">
        <v>204</v>
      </c>
    </row>
    <row r="7" spans="2:13" x14ac:dyDescent="0.2">
      <c r="B7" s="7" t="s">
        <v>60</v>
      </c>
      <c r="C7" s="7" t="s">
        <v>968</v>
      </c>
      <c r="D7" s="7" t="s">
        <v>66</v>
      </c>
      <c r="E7" s="72">
        <v>2030</v>
      </c>
      <c r="F7" s="7" t="s">
        <v>135</v>
      </c>
      <c r="G7" s="70" t="s">
        <v>144</v>
      </c>
      <c r="H7" s="70" t="s">
        <v>171</v>
      </c>
      <c r="I7" s="70" t="s">
        <v>187</v>
      </c>
      <c r="J7" s="7" t="s">
        <v>198</v>
      </c>
      <c r="K7" s="7"/>
      <c r="L7" s="7"/>
      <c r="M7" s="7" t="s">
        <v>205</v>
      </c>
    </row>
    <row r="8" spans="2:13" x14ac:dyDescent="0.2">
      <c r="B8" s="7" t="s">
        <v>50</v>
      </c>
      <c r="C8" s="7"/>
      <c r="D8" s="7" t="s">
        <v>33</v>
      </c>
      <c r="E8" s="7"/>
      <c r="F8" s="7" t="s">
        <v>136</v>
      </c>
      <c r="G8" s="71" t="s">
        <v>145</v>
      </c>
      <c r="H8" s="71" t="s">
        <v>172</v>
      </c>
      <c r="I8" s="71" t="s">
        <v>188</v>
      </c>
      <c r="J8" s="7" t="s">
        <v>41</v>
      </c>
      <c r="K8" s="7"/>
      <c r="L8" s="7"/>
      <c r="M8" s="7" t="s">
        <v>206</v>
      </c>
    </row>
    <row r="9" spans="2:13" x14ac:dyDescent="0.2">
      <c r="B9" s="7" t="s">
        <v>49</v>
      </c>
      <c r="D9" s="7" t="s">
        <v>39</v>
      </c>
      <c r="E9" s="7"/>
      <c r="F9" s="7" t="s">
        <v>137</v>
      </c>
      <c r="G9" s="70" t="s">
        <v>146</v>
      </c>
      <c r="H9" s="70" t="s">
        <v>173</v>
      </c>
      <c r="I9" s="70" t="s">
        <v>189</v>
      </c>
      <c r="J9" s="7" t="s">
        <v>26</v>
      </c>
      <c r="K9" s="7"/>
      <c r="L9" s="7"/>
      <c r="M9" s="7" t="s">
        <v>207</v>
      </c>
    </row>
    <row r="10" spans="2:13" x14ac:dyDescent="0.2">
      <c r="B10" s="7" t="s">
        <v>54</v>
      </c>
      <c r="C10" s="7"/>
      <c r="D10" s="7" t="s">
        <v>42</v>
      </c>
      <c r="E10" s="7"/>
      <c r="F10" s="7" t="s">
        <v>138</v>
      </c>
      <c r="G10" s="71" t="s">
        <v>147</v>
      </c>
      <c r="H10" s="71" t="s">
        <v>174</v>
      </c>
      <c r="I10" s="71" t="s">
        <v>190</v>
      </c>
      <c r="J10" s="7" t="s">
        <v>152</v>
      </c>
      <c r="K10" s="7"/>
      <c r="L10" s="7"/>
      <c r="M10" s="7" t="s">
        <v>208</v>
      </c>
    </row>
    <row r="11" spans="2:13" x14ac:dyDescent="0.2">
      <c r="B11" s="7" t="s">
        <v>55</v>
      </c>
      <c r="C11" s="7"/>
      <c r="D11" s="7"/>
      <c r="E11" s="7"/>
      <c r="F11" s="7" t="s">
        <v>139</v>
      </c>
      <c r="G11" s="70" t="s">
        <v>148</v>
      </c>
      <c r="H11" s="70" t="s">
        <v>175</v>
      </c>
      <c r="I11" s="70" t="s">
        <v>191</v>
      </c>
      <c r="J11" s="14" t="s">
        <v>979</v>
      </c>
      <c r="K11" s="7"/>
      <c r="L11" s="7"/>
      <c r="M11" s="7" t="s">
        <v>624</v>
      </c>
    </row>
    <row r="12" spans="2:13" x14ac:dyDescent="0.2">
      <c r="B12" s="7" t="s">
        <v>62</v>
      </c>
      <c r="C12" s="7"/>
      <c r="D12" s="7"/>
      <c r="E12" s="7"/>
      <c r="F12" s="7"/>
      <c r="G12" s="71" t="s">
        <v>149</v>
      </c>
      <c r="H12" s="71" t="s">
        <v>176</v>
      </c>
      <c r="I12" s="71" t="s">
        <v>192</v>
      </c>
      <c r="J12" s="14" t="s">
        <v>201</v>
      </c>
      <c r="K12" s="7"/>
      <c r="L12" s="7"/>
      <c r="M12" s="7" t="s">
        <v>625</v>
      </c>
    </row>
    <row r="13" spans="2:13" x14ac:dyDescent="0.2">
      <c r="B13" s="7" t="s">
        <v>23</v>
      </c>
      <c r="C13" s="7"/>
      <c r="D13" s="7"/>
      <c r="E13" s="7"/>
      <c r="F13" s="7"/>
      <c r="G13" s="70" t="s">
        <v>150</v>
      </c>
      <c r="H13" s="70" t="s">
        <v>177</v>
      </c>
      <c r="I13" s="70" t="s">
        <v>193</v>
      </c>
      <c r="J13" s="14" t="s">
        <v>72</v>
      </c>
      <c r="K13" s="7"/>
      <c r="L13" s="7"/>
      <c r="M13" s="7" t="s">
        <v>626</v>
      </c>
    </row>
    <row r="14" spans="2:13" x14ac:dyDescent="0.2">
      <c r="B14" s="7" t="s">
        <v>63</v>
      </c>
      <c r="C14" s="7"/>
      <c r="D14" s="7"/>
      <c r="E14" s="7"/>
      <c r="F14" s="7"/>
      <c r="G14" s="71" t="s">
        <v>151</v>
      </c>
      <c r="H14" s="71" t="s">
        <v>178</v>
      </c>
      <c r="I14" s="71" t="s">
        <v>194</v>
      </c>
      <c r="J14" s="14" t="s">
        <v>200</v>
      </c>
      <c r="K14" s="7"/>
      <c r="L14" s="7"/>
      <c r="M14" s="7" t="s">
        <v>627</v>
      </c>
    </row>
    <row r="15" spans="2:13" x14ac:dyDescent="0.2">
      <c r="B15" s="7" t="s">
        <v>163</v>
      </c>
      <c r="C15" s="7"/>
      <c r="J15" s="14" t="s">
        <v>957</v>
      </c>
      <c r="L15" s="7"/>
      <c r="M15" s="7"/>
    </row>
    <row r="16" spans="2:13" x14ac:dyDescent="0.2">
      <c r="B16" s="7" t="s">
        <v>35</v>
      </c>
      <c r="C16" s="7"/>
      <c r="D16" s="7"/>
      <c r="E16" s="7"/>
      <c r="F16" s="7"/>
      <c r="G16" s="7"/>
      <c r="H16" s="7"/>
      <c r="I16" s="7"/>
      <c r="J16" s="14" t="s">
        <v>910</v>
      </c>
      <c r="K16" s="7"/>
      <c r="L16" s="7"/>
      <c r="M16" s="7"/>
    </row>
    <row r="17" spans="2:13" x14ac:dyDescent="0.2">
      <c r="B17" s="7" t="s">
        <v>28</v>
      </c>
      <c r="C17" s="7"/>
      <c r="D17" s="7"/>
      <c r="E17" s="7"/>
      <c r="F17" s="7"/>
      <c r="G17" s="7"/>
      <c r="H17" s="7"/>
      <c r="I17" s="7"/>
      <c r="J17" s="14" t="s">
        <v>56</v>
      </c>
      <c r="K17" s="7"/>
      <c r="L17" s="7"/>
      <c r="M17" s="7"/>
    </row>
    <row r="18" spans="2:13" x14ac:dyDescent="0.2">
      <c r="B18" s="7" t="s">
        <v>164</v>
      </c>
      <c r="C18" s="7"/>
      <c r="D18" s="7"/>
      <c r="E18" s="7"/>
      <c r="F18" s="7"/>
      <c r="G18" s="7"/>
      <c r="H18" s="7"/>
      <c r="I18" s="7"/>
      <c r="J18" s="14" t="s">
        <v>153</v>
      </c>
      <c r="K18" s="7"/>
      <c r="L18" s="7"/>
      <c r="M18" s="7"/>
    </row>
    <row r="19" spans="2:13" x14ac:dyDescent="0.2">
      <c r="B19" s="7" t="s">
        <v>162</v>
      </c>
      <c r="C19" s="7"/>
      <c r="D19" s="7"/>
      <c r="E19" s="7"/>
      <c r="F19" s="7"/>
      <c r="G19" s="7"/>
      <c r="H19" s="7"/>
      <c r="I19" s="7"/>
      <c r="J19" s="14" t="s">
        <v>51</v>
      </c>
      <c r="K19" s="7"/>
      <c r="L19" s="7"/>
      <c r="M19" s="7"/>
    </row>
    <row r="20" spans="2:13" x14ac:dyDescent="0.2">
      <c r="B20" s="7" t="s">
        <v>59</v>
      </c>
      <c r="C20" s="7"/>
      <c r="D20" s="7"/>
      <c r="E20" s="7"/>
      <c r="F20" s="7"/>
      <c r="G20" s="7"/>
      <c r="H20" s="7"/>
      <c r="I20" s="7"/>
      <c r="J20" s="14" t="s">
        <v>53</v>
      </c>
      <c r="K20" s="7"/>
      <c r="L20" s="7"/>
      <c r="M20" s="7"/>
    </row>
    <row r="21" spans="2:13" x14ac:dyDescent="0.2">
      <c r="B21" s="7" t="s">
        <v>182</v>
      </c>
      <c r="C21" s="7"/>
      <c r="D21" s="7"/>
      <c r="E21" s="7"/>
      <c r="F21" s="7"/>
      <c r="G21" s="7"/>
      <c r="H21" s="7"/>
      <c r="I21" s="7"/>
      <c r="J21" s="14" t="s">
        <v>40</v>
      </c>
      <c r="K21" s="7"/>
      <c r="L21" s="7"/>
      <c r="M21" s="7"/>
    </row>
    <row r="22" spans="2:13" x14ac:dyDescent="0.2">
      <c r="B22" s="7" t="s">
        <v>32</v>
      </c>
      <c r="C22" s="7"/>
      <c r="D22" s="7"/>
      <c r="E22" s="7"/>
      <c r="F22" s="7"/>
      <c r="G22" s="7"/>
      <c r="H22" s="7"/>
      <c r="I22" s="7"/>
      <c r="J22" s="14" t="s">
        <v>45</v>
      </c>
      <c r="K22" s="7"/>
      <c r="L22" s="7"/>
      <c r="M22" s="7"/>
    </row>
    <row r="23" spans="2:13" x14ac:dyDescent="0.2">
      <c r="B23" s="7"/>
      <c r="C23" s="7"/>
      <c r="D23" s="7"/>
      <c r="E23" s="7"/>
      <c r="F23" s="7"/>
      <c r="G23" s="7"/>
      <c r="H23" s="7"/>
      <c r="I23" s="7"/>
      <c r="J23" s="14" t="s">
        <v>61</v>
      </c>
      <c r="K23" s="7"/>
      <c r="L23" s="7"/>
      <c r="M23" s="7"/>
    </row>
    <row r="24" spans="2:13" x14ac:dyDescent="0.2">
      <c r="B24" s="7"/>
      <c r="C24" s="7"/>
      <c r="D24" s="7"/>
      <c r="E24" s="7"/>
      <c r="F24" s="7"/>
      <c r="G24" s="7"/>
      <c r="H24" s="7"/>
      <c r="I24" s="7"/>
      <c r="J24" s="14"/>
      <c r="K24" s="7"/>
      <c r="L24" s="7"/>
      <c r="M24" s="7"/>
    </row>
    <row r="25" spans="2:13" x14ac:dyDescent="0.2">
      <c r="B25" s="7"/>
      <c r="C25" s="7"/>
      <c r="D25" s="7"/>
      <c r="E25" s="7"/>
      <c r="F25" s="7"/>
      <c r="G25" s="7"/>
      <c r="H25" s="7"/>
      <c r="I25" s="7"/>
      <c r="J25" s="14"/>
      <c r="K25" s="7"/>
      <c r="L25" s="7"/>
      <c r="M25" s="7"/>
    </row>
    <row r="26" spans="2:13" x14ac:dyDescent="0.2">
      <c r="B26" s="7"/>
      <c r="C26" s="7"/>
      <c r="D26" s="7"/>
      <c r="E26" s="7"/>
      <c r="F26" s="7"/>
      <c r="G26" s="7"/>
      <c r="H26" s="7"/>
      <c r="I26" s="7"/>
      <c r="J26" s="14"/>
      <c r="K26" s="7"/>
      <c r="L26" s="7"/>
      <c r="M26" s="7"/>
    </row>
    <row r="27" spans="2:13" x14ac:dyDescent="0.2">
      <c r="B27" s="7"/>
      <c r="C27" s="7"/>
      <c r="D27" s="7"/>
      <c r="E27" s="7"/>
      <c r="F27" s="7"/>
      <c r="G27" s="7"/>
      <c r="H27" s="7"/>
      <c r="I27" s="7"/>
      <c r="J27" s="14"/>
      <c r="K27" s="7"/>
      <c r="L27" s="7"/>
      <c r="M27" s="7"/>
    </row>
    <row r="30" spans="2:13" ht="31" thickBot="1" x14ac:dyDescent="0.25">
      <c r="B30" s="75" t="s">
        <v>710</v>
      </c>
      <c r="C30" s="75" t="s">
        <v>130</v>
      </c>
      <c r="D30" s="75" t="s">
        <v>131</v>
      </c>
      <c r="E30" s="75" t="s">
        <v>132</v>
      </c>
    </row>
    <row r="31" spans="2:13" x14ac:dyDescent="0.2">
      <c r="B31" s="70">
        <v>2026</v>
      </c>
      <c r="C31" s="70" t="s">
        <v>983</v>
      </c>
      <c r="D31" s="70" t="s">
        <v>129</v>
      </c>
      <c r="E31" s="70">
        <v>1</v>
      </c>
    </row>
    <row r="32" spans="2:13" x14ac:dyDescent="0.2">
      <c r="B32" s="71">
        <v>2027</v>
      </c>
      <c r="C32" s="71" t="s">
        <v>129</v>
      </c>
      <c r="D32" s="71" t="s">
        <v>129</v>
      </c>
      <c r="E32" s="71">
        <v>2</v>
      </c>
    </row>
    <row r="33" spans="2:5" x14ac:dyDescent="0.2">
      <c r="B33" s="70">
        <v>2028</v>
      </c>
      <c r="C33" s="70" t="s">
        <v>133</v>
      </c>
      <c r="D33" s="70"/>
      <c r="E33" s="70">
        <v>3</v>
      </c>
    </row>
    <row r="34" spans="2:5" x14ac:dyDescent="0.2">
      <c r="B34" s="71">
        <v>2029</v>
      </c>
      <c r="C34" s="71" t="s">
        <v>134</v>
      </c>
      <c r="D34" s="71"/>
      <c r="E34" s="71">
        <v>4</v>
      </c>
    </row>
    <row r="35" spans="2:5" x14ac:dyDescent="0.2">
      <c r="B35" s="70">
        <v>2030</v>
      </c>
      <c r="C35" s="70" t="s">
        <v>135</v>
      </c>
      <c r="D35" s="70"/>
      <c r="E35" s="70"/>
    </row>
    <row r="36" spans="2:5" x14ac:dyDescent="0.2">
      <c r="B36" s="71"/>
      <c r="C36" s="71" t="s">
        <v>136</v>
      </c>
      <c r="D36" s="71"/>
      <c r="E36" s="71"/>
    </row>
    <row r="37" spans="2:5" x14ac:dyDescent="0.2">
      <c r="B37" s="70"/>
      <c r="C37" s="70" t="s">
        <v>137</v>
      </c>
      <c r="D37" s="70"/>
      <c r="E37" s="70"/>
    </row>
    <row r="38" spans="2:5" x14ac:dyDescent="0.2">
      <c r="B38" s="71"/>
      <c r="C38" s="71" t="s">
        <v>138</v>
      </c>
      <c r="D38" s="71"/>
      <c r="E38" s="71"/>
    </row>
    <row r="39" spans="2:5" x14ac:dyDescent="0.2">
      <c r="B39" s="70"/>
      <c r="C39" s="70" t="s">
        <v>139</v>
      </c>
      <c r="D39" s="70"/>
      <c r="E39" s="70"/>
    </row>
    <row r="40" spans="2:5" x14ac:dyDescent="0.2">
      <c r="B40" s="71"/>
      <c r="C40" s="71" t="s">
        <v>140</v>
      </c>
      <c r="D40" s="71"/>
      <c r="E40" s="71"/>
    </row>
    <row r="41" spans="2:5" x14ac:dyDescent="0.2">
      <c r="B41" s="70"/>
      <c r="C41" s="70" t="s">
        <v>141</v>
      </c>
      <c r="D41" s="70"/>
      <c r="E41" s="70"/>
    </row>
    <row r="42" spans="2:5" x14ac:dyDescent="0.2">
      <c r="B42" s="71"/>
      <c r="C42" s="71" t="s">
        <v>142</v>
      </c>
      <c r="D42" s="71"/>
      <c r="E42" s="71"/>
    </row>
    <row r="43" spans="2:5" x14ac:dyDescent="0.2">
      <c r="B43" s="70"/>
      <c r="C43" s="70" t="s">
        <v>143</v>
      </c>
      <c r="D43" s="70"/>
      <c r="E43" s="70"/>
    </row>
    <row r="44" spans="2:5" x14ac:dyDescent="0.2">
      <c r="B44" s="71"/>
      <c r="C44" s="71" t="s">
        <v>144</v>
      </c>
      <c r="D44" s="71"/>
      <c r="E44" s="71"/>
    </row>
    <row r="45" spans="2:5" x14ac:dyDescent="0.2">
      <c r="B45" s="70"/>
      <c r="C45" s="70" t="s">
        <v>145</v>
      </c>
      <c r="D45" s="70"/>
      <c r="E45" s="70"/>
    </row>
    <row r="46" spans="2:5" x14ac:dyDescent="0.2">
      <c r="B46" s="71"/>
      <c r="C46" s="71" t="s">
        <v>146</v>
      </c>
      <c r="D46" s="71"/>
      <c r="E46" s="71"/>
    </row>
    <row r="47" spans="2:5" x14ac:dyDescent="0.2">
      <c r="B47" s="70"/>
      <c r="C47" s="70" t="s">
        <v>147</v>
      </c>
      <c r="D47" s="70"/>
      <c r="E47" s="70"/>
    </row>
    <row r="48" spans="2:5" x14ac:dyDescent="0.2">
      <c r="B48" s="71"/>
      <c r="C48" s="71" t="s">
        <v>148</v>
      </c>
      <c r="D48" s="71"/>
      <c r="E48" s="71"/>
    </row>
    <row r="49" spans="2:5" x14ac:dyDescent="0.2">
      <c r="B49" s="70"/>
      <c r="C49" s="70" t="s">
        <v>149</v>
      </c>
      <c r="D49" s="70"/>
      <c r="E49" s="70"/>
    </row>
    <row r="50" spans="2:5" x14ac:dyDescent="0.2">
      <c r="B50" s="71"/>
      <c r="C50" s="71" t="s">
        <v>150</v>
      </c>
      <c r="D50" s="71"/>
      <c r="E50" s="71"/>
    </row>
    <row r="51" spans="2:5" x14ac:dyDescent="0.2">
      <c r="B51" s="70"/>
      <c r="C51" s="70" t="s">
        <v>151</v>
      </c>
      <c r="D51" s="70"/>
      <c r="E51" s="70"/>
    </row>
    <row r="52" spans="2:5" x14ac:dyDescent="0.2">
      <c r="B52" s="71"/>
      <c r="C52" s="71" t="s">
        <v>167</v>
      </c>
      <c r="D52" s="71"/>
      <c r="E52" s="71"/>
    </row>
    <row r="53" spans="2:5" x14ac:dyDescent="0.2">
      <c r="B53" s="70"/>
      <c r="C53" s="70" t="s">
        <v>168</v>
      </c>
      <c r="D53" s="70"/>
      <c r="E53" s="70"/>
    </row>
    <row r="54" spans="2:5" x14ac:dyDescent="0.2">
      <c r="B54" s="71"/>
      <c r="C54" s="71" t="s">
        <v>169</v>
      </c>
      <c r="D54" s="71"/>
      <c r="E54" s="71"/>
    </row>
    <row r="55" spans="2:5" x14ac:dyDescent="0.2">
      <c r="B55" s="70"/>
      <c r="C55" s="70" t="s">
        <v>170</v>
      </c>
      <c r="D55" s="70"/>
      <c r="E55" s="70"/>
    </row>
    <row r="56" spans="2:5" x14ac:dyDescent="0.2">
      <c r="B56" s="71"/>
      <c r="C56" s="71" t="s">
        <v>171</v>
      </c>
      <c r="D56" s="71"/>
      <c r="E56" s="71"/>
    </row>
    <row r="57" spans="2:5" x14ac:dyDescent="0.2">
      <c r="B57" s="70"/>
      <c r="C57" s="70" t="s">
        <v>172</v>
      </c>
      <c r="D57" s="70"/>
      <c r="E57" s="70"/>
    </row>
    <row r="58" spans="2:5" x14ac:dyDescent="0.2">
      <c r="B58" s="71"/>
      <c r="C58" s="71" t="s">
        <v>173</v>
      </c>
      <c r="D58" s="71"/>
      <c r="E58" s="71"/>
    </row>
    <row r="59" spans="2:5" x14ac:dyDescent="0.2">
      <c r="B59" s="70"/>
      <c r="C59" s="70" t="s">
        <v>174</v>
      </c>
      <c r="D59" s="70"/>
      <c r="E59" s="70"/>
    </row>
    <row r="60" spans="2:5" x14ac:dyDescent="0.2">
      <c r="B60" s="71"/>
      <c r="C60" s="71" t="s">
        <v>175</v>
      </c>
      <c r="D60" s="71"/>
      <c r="E60" s="71"/>
    </row>
    <row r="61" spans="2:5" x14ac:dyDescent="0.2">
      <c r="B61" s="70"/>
      <c r="C61" s="70" t="s">
        <v>176</v>
      </c>
      <c r="D61" s="70"/>
      <c r="E61" s="70"/>
    </row>
    <row r="62" spans="2:5" x14ac:dyDescent="0.2">
      <c r="B62" s="71"/>
      <c r="C62" s="71" t="s">
        <v>177</v>
      </c>
      <c r="D62" s="71"/>
      <c r="E62" s="71"/>
    </row>
    <row r="63" spans="2:5" x14ac:dyDescent="0.2">
      <c r="B63" s="70"/>
      <c r="C63" s="70" t="s">
        <v>178</v>
      </c>
      <c r="D63" s="70"/>
      <c r="E63" s="70"/>
    </row>
    <row r="64" spans="2:5" x14ac:dyDescent="0.2">
      <c r="B64" s="71"/>
      <c r="C64" s="71" t="s">
        <v>183</v>
      </c>
      <c r="D64" s="71"/>
      <c r="E64" s="71"/>
    </row>
    <row r="65" spans="2:5" x14ac:dyDescent="0.2">
      <c r="B65" s="70"/>
      <c r="C65" s="70" t="s">
        <v>184</v>
      </c>
      <c r="D65" s="70"/>
      <c r="E65" s="70"/>
    </row>
    <row r="66" spans="2:5" x14ac:dyDescent="0.2">
      <c r="B66" s="71"/>
      <c r="C66" s="71" t="s">
        <v>185</v>
      </c>
      <c r="D66" s="71"/>
      <c r="E66" s="71"/>
    </row>
    <row r="67" spans="2:5" x14ac:dyDescent="0.2">
      <c r="B67" s="70"/>
      <c r="C67" s="70" t="s">
        <v>186</v>
      </c>
      <c r="D67" s="70"/>
      <c r="E67" s="70"/>
    </row>
    <row r="68" spans="2:5" x14ac:dyDescent="0.2">
      <c r="B68" s="71"/>
      <c r="C68" s="71" t="s">
        <v>187</v>
      </c>
      <c r="D68" s="71"/>
      <c r="E68" s="71"/>
    </row>
    <row r="69" spans="2:5" x14ac:dyDescent="0.2">
      <c r="B69" s="70"/>
      <c r="C69" s="70" t="s">
        <v>188</v>
      </c>
      <c r="D69" s="70"/>
      <c r="E69" s="70"/>
    </row>
    <row r="70" spans="2:5" x14ac:dyDescent="0.2">
      <c r="B70" s="71"/>
      <c r="C70" s="71" t="s">
        <v>189</v>
      </c>
      <c r="D70" s="71"/>
      <c r="E70" s="71"/>
    </row>
    <row r="71" spans="2:5" x14ac:dyDescent="0.2">
      <c r="B71" s="70"/>
      <c r="C71" s="70" t="s">
        <v>190</v>
      </c>
      <c r="D71" s="70"/>
      <c r="E71" s="70"/>
    </row>
    <row r="72" spans="2:5" x14ac:dyDescent="0.2">
      <c r="B72" s="71"/>
      <c r="C72" s="71" t="s">
        <v>191</v>
      </c>
      <c r="D72" s="71"/>
      <c r="E72" s="71"/>
    </row>
    <row r="73" spans="2:5" x14ac:dyDescent="0.2">
      <c r="B73" s="70"/>
      <c r="C73" s="70" t="s">
        <v>192</v>
      </c>
      <c r="D73" s="70"/>
      <c r="E73" s="70"/>
    </row>
    <row r="74" spans="2:5" x14ac:dyDescent="0.2">
      <c r="B74" s="71"/>
      <c r="C74" s="71" t="s">
        <v>193</v>
      </c>
      <c r="D74" s="71"/>
      <c r="E74" s="71"/>
    </row>
    <row r="75" spans="2:5" x14ac:dyDescent="0.2">
      <c r="C75" s="70" t="s">
        <v>194</v>
      </c>
    </row>
  </sheetData>
  <autoFilter ref="B30:C74" xr:uid="{14FBD948-543C-48FA-87A0-BC46E95959A4}"/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592A-3146-4564-9276-4E013888F31A}">
  <sheetPr codeName="Foglio11">
    <tabColor theme="1" tint="0.499984740745262"/>
  </sheetPr>
  <dimension ref="B2:Y22"/>
  <sheetViews>
    <sheetView zoomScaleNormal="100" workbookViewId="0">
      <selection activeCell="A6" sqref="A6:XFD6"/>
    </sheetView>
  </sheetViews>
  <sheetFormatPr baseColWidth="10" defaultColWidth="12.5" defaultRowHeight="15" x14ac:dyDescent="0.2"/>
  <cols>
    <col min="1" max="1" width="4.6640625" style="179" customWidth="1"/>
    <col min="2" max="2" width="12.5" style="179"/>
    <col min="3" max="5" width="12.5" style="179" hidden="1" customWidth="1"/>
    <col min="6" max="6" width="9.1640625" style="179" hidden="1" customWidth="1"/>
    <col min="7" max="7" width="13" style="179" hidden="1" customWidth="1"/>
    <col min="8" max="9" width="12.5" style="179" bestFit="1" customWidth="1"/>
    <col min="10" max="10" width="8.5" style="179" hidden="1" customWidth="1"/>
    <col min="11" max="11" width="14.1640625" style="179" customWidth="1"/>
    <col min="12" max="12" width="12.5" style="179" bestFit="1" customWidth="1"/>
    <col min="13" max="13" width="12.83203125" style="179" hidden="1" customWidth="1"/>
    <col min="14" max="14" width="13.5" style="179" customWidth="1"/>
    <col min="15" max="15" width="12.5" style="179" customWidth="1"/>
    <col min="16" max="16" width="12.5" style="179" hidden="1" customWidth="1"/>
    <col min="17" max="17" width="11.83203125" style="179" customWidth="1"/>
    <col min="18" max="18" width="12.5" style="179" customWidth="1"/>
    <col min="19" max="19" width="8.5" style="179" hidden="1" customWidth="1"/>
    <col min="20" max="21" width="12.5" style="179" customWidth="1"/>
    <col min="22" max="22" width="12.5" style="179" hidden="1" customWidth="1"/>
    <col min="23" max="24" width="13" style="179" bestFit="1" customWidth="1"/>
    <col min="25" max="25" width="15.83203125" style="179" hidden="1" customWidth="1"/>
    <col min="26" max="16384" width="12.5" style="179"/>
  </cols>
  <sheetData>
    <row r="2" spans="2:25" ht="16.75" customHeight="1" x14ac:dyDescent="0.2">
      <c r="B2" s="584" t="s">
        <v>653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  <c r="V2" s="585"/>
      <c r="W2" s="585"/>
      <c r="X2" s="585"/>
      <c r="Y2" s="586"/>
    </row>
    <row r="3" spans="2:25" ht="64" x14ac:dyDescent="0.2">
      <c r="B3" s="424" t="s">
        <v>654</v>
      </c>
      <c r="C3" s="424" t="s">
        <v>655</v>
      </c>
      <c r="D3" s="424" t="s">
        <v>656</v>
      </c>
      <c r="E3" s="424" t="s">
        <v>657</v>
      </c>
      <c r="F3" s="424" t="s">
        <v>658</v>
      </c>
      <c r="G3" s="424" t="s">
        <v>659</v>
      </c>
      <c r="H3" s="424" t="s">
        <v>660</v>
      </c>
      <c r="I3" s="424" t="s">
        <v>661</v>
      </c>
      <c r="J3" s="424" t="s">
        <v>662</v>
      </c>
      <c r="K3" s="424" t="s">
        <v>663</v>
      </c>
      <c r="L3" s="424" t="s">
        <v>664</v>
      </c>
      <c r="M3" s="424" t="s">
        <v>665</v>
      </c>
      <c r="N3" s="424" t="s">
        <v>666</v>
      </c>
      <c r="O3" s="424" t="s">
        <v>667</v>
      </c>
      <c r="P3" s="424" t="s">
        <v>668</v>
      </c>
      <c r="Q3" s="424" t="s">
        <v>669</v>
      </c>
      <c r="R3" s="424" t="s">
        <v>670</v>
      </c>
      <c r="S3" s="424" t="s">
        <v>671</v>
      </c>
      <c r="T3" s="424" t="s">
        <v>672</v>
      </c>
      <c r="U3" s="424" t="s">
        <v>673</v>
      </c>
      <c r="V3" s="424" t="s">
        <v>674</v>
      </c>
      <c r="W3" s="424" t="s">
        <v>675</v>
      </c>
      <c r="X3" s="424" t="s">
        <v>676</v>
      </c>
      <c r="Y3" s="425" t="s">
        <v>677</v>
      </c>
    </row>
    <row r="4" spans="2:25" ht="16" x14ac:dyDescent="0.2">
      <c r="B4" s="426" t="s">
        <v>618</v>
      </c>
      <c r="C4" s="427"/>
      <c r="D4" s="427"/>
      <c r="E4" s="427"/>
      <c r="F4" s="428"/>
      <c r="G4" s="427"/>
      <c r="H4" s="429">
        <v>45929</v>
      </c>
      <c r="I4" s="429">
        <v>45996</v>
      </c>
      <c r="J4" s="430"/>
      <c r="K4" s="429">
        <v>46000</v>
      </c>
      <c r="L4" s="429">
        <v>46045</v>
      </c>
      <c r="M4" s="430"/>
      <c r="N4" s="429">
        <v>46034</v>
      </c>
      <c r="O4" s="429">
        <v>46059</v>
      </c>
      <c r="P4" s="430"/>
      <c r="Q4" s="429">
        <v>46048</v>
      </c>
      <c r="R4" s="429">
        <v>46059</v>
      </c>
      <c r="S4" s="430"/>
      <c r="T4" s="429">
        <v>46062</v>
      </c>
      <c r="U4" s="429">
        <v>46087</v>
      </c>
      <c r="V4" s="430"/>
      <c r="W4" s="429">
        <v>46089</v>
      </c>
      <c r="X4" s="429">
        <v>46090</v>
      </c>
      <c r="Y4" s="180" t="e">
        <v>#REF!</v>
      </c>
    </row>
    <row r="5" spans="2:25" ht="15.5" customHeight="1" x14ac:dyDescent="0.2">
      <c r="B5" s="431" t="s">
        <v>619</v>
      </c>
      <c r="C5" s="432"/>
      <c r="D5" s="432"/>
      <c r="E5" s="432"/>
      <c r="F5" s="433"/>
      <c r="G5" s="432"/>
      <c r="H5" s="434">
        <v>46055</v>
      </c>
      <c r="I5" s="434">
        <v>46094</v>
      </c>
      <c r="J5" s="435"/>
      <c r="K5" s="434">
        <v>46097</v>
      </c>
      <c r="L5" s="434">
        <v>46115</v>
      </c>
      <c r="M5" s="435"/>
      <c r="N5" s="434">
        <v>46104</v>
      </c>
      <c r="O5" s="434">
        <v>46129</v>
      </c>
      <c r="P5" s="435"/>
      <c r="Q5" s="434">
        <v>46119</v>
      </c>
      <c r="R5" s="434">
        <v>46129</v>
      </c>
      <c r="S5" s="435"/>
      <c r="T5" s="434">
        <v>46125</v>
      </c>
      <c r="U5" s="434">
        <v>46150</v>
      </c>
      <c r="V5" s="435"/>
      <c r="W5" s="434">
        <v>46152</v>
      </c>
      <c r="X5" s="434">
        <v>46153</v>
      </c>
      <c r="Y5" s="181" t="e">
        <v>#REF!</v>
      </c>
    </row>
    <row r="6" spans="2:25" ht="16" x14ac:dyDescent="0.2">
      <c r="B6" s="426" t="s">
        <v>620</v>
      </c>
      <c r="C6" s="427"/>
      <c r="D6" s="427"/>
      <c r="E6" s="427"/>
      <c r="F6" s="428"/>
      <c r="G6" s="427"/>
      <c r="H6" s="429">
        <v>46097</v>
      </c>
      <c r="I6" s="429">
        <v>46157</v>
      </c>
      <c r="J6" s="430"/>
      <c r="K6" s="429">
        <v>46160</v>
      </c>
      <c r="L6" s="429">
        <v>46185</v>
      </c>
      <c r="M6" s="430"/>
      <c r="N6" s="429">
        <v>46167</v>
      </c>
      <c r="O6" s="429">
        <v>46192</v>
      </c>
      <c r="P6" s="430"/>
      <c r="Q6" s="429">
        <v>46188</v>
      </c>
      <c r="R6" s="429">
        <v>46192</v>
      </c>
      <c r="S6" s="430"/>
      <c r="T6" s="429">
        <v>46195</v>
      </c>
      <c r="U6" s="429">
        <v>46213</v>
      </c>
      <c r="V6" s="430"/>
      <c r="W6" s="429">
        <v>46221</v>
      </c>
      <c r="X6" s="429">
        <v>46222</v>
      </c>
      <c r="Y6" s="180" t="e">
        <v>#REF!</v>
      </c>
    </row>
    <row r="7" spans="2:25" ht="15.5" customHeight="1" x14ac:dyDescent="0.2">
      <c r="B7" s="431" t="s">
        <v>621</v>
      </c>
      <c r="C7" s="432"/>
      <c r="D7" s="432"/>
      <c r="E7" s="432"/>
      <c r="F7" s="433"/>
      <c r="G7" s="432"/>
      <c r="H7" s="434">
        <v>46167</v>
      </c>
      <c r="I7" s="434">
        <v>46234</v>
      </c>
      <c r="J7" s="435"/>
      <c r="K7" s="434">
        <v>46237</v>
      </c>
      <c r="L7" s="434">
        <v>46276</v>
      </c>
      <c r="M7" s="435"/>
      <c r="N7" s="434">
        <v>46265</v>
      </c>
      <c r="O7" s="434">
        <v>46290</v>
      </c>
      <c r="P7" s="435"/>
      <c r="Q7" s="434">
        <v>46279</v>
      </c>
      <c r="R7" s="434">
        <v>46290</v>
      </c>
      <c r="S7" s="435"/>
      <c r="T7" s="434">
        <v>46293</v>
      </c>
      <c r="U7" s="434">
        <v>46318</v>
      </c>
      <c r="V7" s="435"/>
      <c r="W7" s="434">
        <v>46320</v>
      </c>
      <c r="X7" s="434">
        <v>46321</v>
      </c>
      <c r="Y7" s="181" t="e">
        <v>#REF!</v>
      </c>
    </row>
    <row r="8" spans="2:25" ht="16" x14ac:dyDescent="0.2">
      <c r="B8" s="426" t="s">
        <v>919</v>
      </c>
      <c r="C8" s="427"/>
      <c r="D8" s="427"/>
      <c r="E8" s="427"/>
      <c r="F8" s="428"/>
      <c r="G8" s="427"/>
      <c r="H8" s="429">
        <v>46300</v>
      </c>
      <c r="I8" s="429">
        <v>46367</v>
      </c>
      <c r="J8" s="430"/>
      <c r="K8" s="429">
        <v>46370</v>
      </c>
      <c r="L8" s="429">
        <v>46409</v>
      </c>
      <c r="M8" s="430"/>
      <c r="N8" s="429">
        <v>46398</v>
      </c>
      <c r="O8" s="429">
        <v>46423</v>
      </c>
      <c r="P8" s="430"/>
      <c r="Q8" s="429">
        <v>46412</v>
      </c>
      <c r="R8" s="429">
        <v>46423</v>
      </c>
      <c r="S8" s="430"/>
      <c r="T8" s="429">
        <v>46426</v>
      </c>
      <c r="U8" s="429">
        <v>46451</v>
      </c>
      <c r="V8" s="430"/>
      <c r="W8" s="429">
        <v>46453</v>
      </c>
      <c r="X8" s="429">
        <v>46454</v>
      </c>
      <c r="Y8" s="180"/>
    </row>
    <row r="9" spans="2:25" ht="15.5" customHeight="1" x14ac:dyDescent="0.2">
      <c r="B9" s="431" t="s">
        <v>920</v>
      </c>
      <c r="C9" s="432"/>
      <c r="D9" s="432"/>
      <c r="E9" s="432"/>
      <c r="F9" s="433"/>
      <c r="G9" s="432"/>
      <c r="H9" s="434">
        <v>46419</v>
      </c>
      <c r="I9" s="434">
        <v>46458</v>
      </c>
      <c r="J9" s="435"/>
      <c r="K9" s="434">
        <v>46461</v>
      </c>
      <c r="L9" s="434">
        <v>46479</v>
      </c>
      <c r="M9" s="435"/>
      <c r="N9" s="434">
        <v>46468</v>
      </c>
      <c r="O9" s="434">
        <v>46493</v>
      </c>
      <c r="P9" s="435"/>
      <c r="Q9" s="434">
        <v>46476</v>
      </c>
      <c r="R9" s="434">
        <v>46486</v>
      </c>
      <c r="S9" s="435"/>
      <c r="T9" s="434">
        <v>46489</v>
      </c>
      <c r="U9" s="434">
        <v>46514</v>
      </c>
      <c r="V9" s="435"/>
      <c r="W9" s="434">
        <v>46151</v>
      </c>
      <c r="X9" s="434">
        <v>46152</v>
      </c>
      <c r="Y9" s="181"/>
    </row>
    <row r="10" spans="2:25" ht="16" x14ac:dyDescent="0.2">
      <c r="B10" s="426" t="s">
        <v>921</v>
      </c>
      <c r="C10" s="427"/>
      <c r="D10" s="427"/>
      <c r="E10" s="427"/>
      <c r="F10" s="428"/>
      <c r="G10" s="427"/>
      <c r="H10" s="429">
        <v>46461</v>
      </c>
      <c r="I10" s="429">
        <v>46521</v>
      </c>
      <c r="J10" s="430"/>
      <c r="K10" s="429">
        <v>46524</v>
      </c>
      <c r="L10" s="429">
        <v>46549</v>
      </c>
      <c r="M10" s="430"/>
      <c r="N10" s="429">
        <v>46538</v>
      </c>
      <c r="O10" s="429">
        <v>46563</v>
      </c>
      <c r="P10" s="430"/>
      <c r="Q10" s="429">
        <v>46552</v>
      </c>
      <c r="R10" s="429">
        <v>46563</v>
      </c>
      <c r="S10" s="430"/>
      <c r="T10" s="429">
        <v>46566</v>
      </c>
      <c r="U10" s="429">
        <v>46591</v>
      </c>
      <c r="V10" s="430"/>
      <c r="W10" s="429">
        <v>46593</v>
      </c>
      <c r="X10" s="429">
        <v>46594</v>
      </c>
      <c r="Y10" s="180"/>
    </row>
    <row r="11" spans="2:25" ht="15.5" customHeight="1" x14ac:dyDescent="0.2">
      <c r="B11" s="431" t="s">
        <v>922</v>
      </c>
      <c r="C11" s="432"/>
      <c r="D11" s="432"/>
      <c r="E11" s="432"/>
      <c r="F11" s="433"/>
      <c r="G11" s="432"/>
      <c r="H11" s="434">
        <v>46531</v>
      </c>
      <c r="I11" s="434">
        <v>46598</v>
      </c>
      <c r="J11" s="435"/>
      <c r="K11" s="434">
        <v>46601</v>
      </c>
      <c r="L11" s="434">
        <v>46640</v>
      </c>
      <c r="M11" s="435"/>
      <c r="N11" s="434">
        <v>46629</v>
      </c>
      <c r="O11" s="434">
        <v>46654</v>
      </c>
      <c r="P11" s="435"/>
      <c r="Q11" s="434">
        <v>46643</v>
      </c>
      <c r="R11" s="434">
        <v>46654</v>
      </c>
      <c r="S11" s="435"/>
      <c r="T11" s="434">
        <v>46657</v>
      </c>
      <c r="U11" s="434">
        <v>46682</v>
      </c>
      <c r="V11" s="435"/>
      <c r="W11" s="434">
        <v>46684</v>
      </c>
      <c r="X11" s="434">
        <v>46685</v>
      </c>
      <c r="Y11" s="181"/>
    </row>
    <row r="12" spans="2:25" x14ac:dyDescent="0.2">
      <c r="B12" s="426"/>
      <c r="C12" s="427"/>
      <c r="D12" s="427"/>
      <c r="E12" s="427"/>
      <c r="F12" s="428"/>
      <c r="G12" s="427"/>
      <c r="H12" s="429"/>
      <c r="I12" s="429"/>
      <c r="J12" s="430"/>
      <c r="K12" s="429"/>
      <c r="L12" s="429"/>
      <c r="M12" s="430"/>
      <c r="N12" s="429"/>
      <c r="O12" s="429"/>
      <c r="P12" s="430"/>
      <c r="Q12" s="429"/>
      <c r="R12" s="429"/>
      <c r="S12" s="430"/>
      <c r="T12" s="429"/>
      <c r="U12" s="429"/>
      <c r="V12" s="430"/>
      <c r="W12" s="429"/>
      <c r="X12" s="429"/>
      <c r="Y12" s="180"/>
    </row>
    <row r="13" spans="2:25" ht="15.5" customHeight="1" x14ac:dyDescent="0.2">
      <c r="B13" s="431"/>
      <c r="C13" s="432"/>
      <c r="D13" s="432"/>
      <c r="E13" s="432"/>
      <c r="F13" s="433"/>
      <c r="G13" s="432"/>
      <c r="H13" s="434"/>
      <c r="I13" s="434"/>
      <c r="J13" s="435"/>
      <c r="K13" s="434"/>
      <c r="L13" s="434"/>
      <c r="M13" s="435"/>
      <c r="N13" s="434"/>
      <c r="O13" s="434"/>
      <c r="P13" s="435"/>
      <c r="Q13" s="434"/>
      <c r="R13" s="434"/>
      <c r="S13" s="435"/>
      <c r="T13" s="434"/>
      <c r="U13" s="434"/>
      <c r="V13" s="435"/>
      <c r="W13" s="434"/>
      <c r="X13" s="434"/>
      <c r="Y13" s="181"/>
    </row>
    <row r="14" spans="2:25" x14ac:dyDescent="0.2">
      <c r="B14" s="426"/>
      <c r="C14" s="427"/>
      <c r="D14" s="427"/>
      <c r="E14" s="427"/>
      <c r="F14" s="428"/>
      <c r="G14" s="427"/>
      <c r="H14" s="429"/>
      <c r="I14" s="429"/>
      <c r="J14" s="430"/>
      <c r="K14" s="429"/>
      <c r="L14" s="429"/>
      <c r="M14" s="430"/>
      <c r="N14" s="429"/>
      <c r="O14" s="429"/>
      <c r="P14" s="430"/>
      <c r="Q14" s="429"/>
      <c r="R14" s="429"/>
      <c r="S14" s="430"/>
      <c r="T14" s="429"/>
      <c r="U14" s="429"/>
      <c r="V14" s="430"/>
      <c r="W14" s="429"/>
      <c r="X14" s="429"/>
      <c r="Y14" s="180"/>
    </row>
    <row r="15" spans="2:25" ht="15.5" customHeight="1" x14ac:dyDescent="0.2">
      <c r="B15" s="431"/>
      <c r="C15" s="432"/>
      <c r="D15" s="432"/>
      <c r="E15" s="432"/>
      <c r="F15" s="433"/>
      <c r="G15" s="432"/>
      <c r="H15" s="434"/>
      <c r="I15" s="434"/>
      <c r="J15" s="435"/>
      <c r="K15" s="434"/>
      <c r="L15" s="434"/>
      <c r="M15" s="435"/>
      <c r="N15" s="434"/>
      <c r="O15" s="434"/>
      <c r="P15" s="435"/>
      <c r="Q15" s="434"/>
      <c r="R15" s="434"/>
      <c r="S15" s="435"/>
      <c r="T15" s="434"/>
      <c r="U15" s="434"/>
      <c r="V15" s="435"/>
      <c r="W15" s="434"/>
      <c r="X15" s="434"/>
      <c r="Y15" s="181"/>
    </row>
    <row r="18" spans="8:8" x14ac:dyDescent="0.2">
      <c r="H18" s="182"/>
    </row>
    <row r="20" spans="8:8" x14ac:dyDescent="0.2">
      <c r="H20" s="182"/>
    </row>
    <row r="22" spans="8:8" x14ac:dyDescent="0.2">
      <c r="H22" s="182"/>
    </row>
  </sheetData>
  <mergeCells count="1">
    <mergeCell ref="B2:Y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7521-0F83-4EFE-80A5-1876E0288F64}">
  <sheetPr codeName="Foglio12"/>
  <dimension ref="B3:P99"/>
  <sheetViews>
    <sheetView topLeftCell="B34" zoomScale="85" zoomScaleNormal="85" workbookViewId="0">
      <selection activeCell="H57" sqref="H57"/>
    </sheetView>
  </sheetViews>
  <sheetFormatPr baseColWidth="10" defaultColWidth="8.83203125" defaultRowHeight="15" x14ac:dyDescent="0.2"/>
  <cols>
    <col min="1" max="1" width="6.83203125" style="1" customWidth="1"/>
    <col min="2" max="2" width="22.5" style="1" bestFit="1" customWidth="1"/>
    <col min="3" max="3" width="16.1640625" style="1" bestFit="1" customWidth="1"/>
    <col min="4" max="4" width="14.33203125" style="1" bestFit="1" customWidth="1"/>
    <col min="5" max="5" width="13.1640625" style="1" bestFit="1" customWidth="1"/>
    <col min="6" max="6" width="14.1640625" style="1" bestFit="1" customWidth="1"/>
    <col min="7" max="7" width="12.5" style="1" bestFit="1" customWidth="1"/>
    <col min="8" max="8" width="14.1640625" style="1" bestFit="1" customWidth="1"/>
    <col min="9" max="9" width="17.83203125" style="1" customWidth="1"/>
    <col min="10" max="10" width="15" style="1" customWidth="1"/>
    <col min="11" max="11" width="40.83203125" style="1" bestFit="1" customWidth="1"/>
    <col min="12" max="12" width="14.33203125" style="1" bestFit="1" customWidth="1"/>
    <col min="13" max="13" width="15" style="1" bestFit="1" customWidth="1"/>
    <col min="14" max="14" width="12.6640625" style="1" bestFit="1" customWidth="1"/>
    <col min="15" max="15" width="14.1640625" style="1" bestFit="1" customWidth="1"/>
    <col min="16" max="21" width="10.83203125" style="1" customWidth="1"/>
    <col min="22" max="22" width="17.83203125" style="1" customWidth="1"/>
    <col min="23" max="23" width="16.83203125" style="1" bestFit="1" customWidth="1"/>
    <col min="24" max="24" width="12.83203125" style="1" bestFit="1" customWidth="1"/>
    <col min="25" max="16384" width="8.83203125" style="1"/>
  </cols>
  <sheetData>
    <row r="3" spans="2:10" x14ac:dyDescent="0.2">
      <c r="B3" s="469" t="s">
        <v>956</v>
      </c>
      <c r="C3" s="469" t="s">
        <v>955</v>
      </c>
      <c r="D3"/>
      <c r="E3"/>
      <c r="F3"/>
      <c r="G3"/>
      <c r="H3"/>
      <c r="I3"/>
      <c r="J3"/>
    </row>
    <row r="4" spans="2:10" x14ac:dyDescent="0.2">
      <c r="B4" s="469" t="s">
        <v>953</v>
      </c>
      <c r="C4" t="s">
        <v>25</v>
      </c>
      <c r="D4" t="s">
        <v>37</v>
      </c>
      <c r="E4" t="s">
        <v>954</v>
      </c>
      <c r="F4"/>
      <c r="G4"/>
      <c r="H4"/>
      <c r="I4"/>
      <c r="J4"/>
    </row>
    <row r="5" spans="2:10" x14ac:dyDescent="0.2">
      <c r="B5" s="470" t="s">
        <v>983</v>
      </c>
      <c r="C5" s="506">
        <v>13274.02</v>
      </c>
      <c r="D5" s="506"/>
      <c r="E5" s="506">
        <v>13274.02</v>
      </c>
      <c r="F5"/>
      <c r="G5"/>
      <c r="H5"/>
      <c r="I5"/>
      <c r="J5"/>
    </row>
    <row r="6" spans="2:10" x14ac:dyDescent="0.2">
      <c r="B6" s="470" t="s">
        <v>129</v>
      </c>
      <c r="C6" s="506">
        <v>750941.92</v>
      </c>
      <c r="D6" s="506"/>
      <c r="E6" s="506">
        <v>750941.92</v>
      </c>
      <c r="F6"/>
      <c r="G6"/>
      <c r="H6"/>
      <c r="I6"/>
      <c r="J6"/>
    </row>
    <row r="7" spans="2:10" x14ac:dyDescent="0.2">
      <c r="B7" s="470" t="s">
        <v>133</v>
      </c>
      <c r="C7" s="506">
        <v>250716.69</v>
      </c>
      <c r="D7" s="506"/>
      <c r="E7" s="506">
        <v>250716.69</v>
      </c>
      <c r="F7"/>
      <c r="G7"/>
      <c r="H7"/>
      <c r="I7"/>
      <c r="J7"/>
    </row>
    <row r="8" spans="2:10" x14ac:dyDescent="0.2">
      <c r="B8" s="470" t="s">
        <v>134</v>
      </c>
      <c r="C8" s="506">
        <v>383303.32</v>
      </c>
      <c r="D8" s="506">
        <v>67512.459999999992</v>
      </c>
      <c r="E8" s="506">
        <v>450815.78</v>
      </c>
      <c r="F8"/>
      <c r="G8"/>
      <c r="H8"/>
      <c r="I8"/>
      <c r="J8"/>
    </row>
    <row r="9" spans="2:10" x14ac:dyDescent="0.2">
      <c r="B9" s="470" t="s">
        <v>137</v>
      </c>
      <c r="C9" s="506">
        <v>1237.73</v>
      </c>
      <c r="D9" s="506">
        <v>596992.86</v>
      </c>
      <c r="E9" s="506">
        <v>598230.59</v>
      </c>
      <c r="F9"/>
      <c r="G9"/>
      <c r="H9"/>
      <c r="I9"/>
      <c r="J9"/>
    </row>
    <row r="10" spans="2:10" x14ac:dyDescent="0.2">
      <c r="B10" s="470" t="s">
        <v>954</v>
      </c>
      <c r="C10" s="506">
        <v>1399473.6800000002</v>
      </c>
      <c r="D10" s="506">
        <v>664505.31999999995</v>
      </c>
      <c r="E10" s="506">
        <v>2063979</v>
      </c>
      <c r="F10"/>
      <c r="G10"/>
      <c r="H10"/>
      <c r="I10"/>
      <c r="J10"/>
    </row>
    <row r="11" spans="2:10" x14ac:dyDescent="0.2">
      <c r="B11"/>
      <c r="C11"/>
      <c r="D11"/>
    </row>
    <row r="12" spans="2:10" x14ac:dyDescent="0.2">
      <c r="B12" s="471"/>
      <c r="C12">
        <v>616000</v>
      </c>
      <c r="D12"/>
      <c r="G12" s="450"/>
    </row>
    <row r="13" spans="2:10" x14ac:dyDescent="0.2">
      <c r="B13"/>
      <c r="C13" s="527">
        <f>GETPIVOTDATA("Importo Fornitura",$B$3,"Stato","Approvato")-C12</f>
        <v>783473.68000000017</v>
      </c>
      <c r="D13"/>
    </row>
    <row r="14" spans="2:10" x14ac:dyDescent="0.2">
      <c r="B14" s="472"/>
      <c r="C14"/>
      <c r="D14" s="472"/>
      <c r="E14" s="436"/>
      <c r="F14" s="473"/>
    </row>
    <row r="15" spans="2:10" x14ac:dyDescent="0.2">
      <c r="B15"/>
      <c r="C15"/>
      <c r="D15"/>
    </row>
    <row r="16" spans="2:10" x14ac:dyDescent="0.2">
      <c r="B16" s="469" t="s">
        <v>956</v>
      </c>
      <c r="C16" s="469" t="s">
        <v>955</v>
      </c>
      <c r="D16"/>
      <c r="E16"/>
    </row>
    <row r="17" spans="2:7" x14ac:dyDescent="0.2">
      <c r="B17" s="469" t="s">
        <v>953</v>
      </c>
      <c r="C17" t="s">
        <v>25</v>
      </c>
      <c r="D17" t="s">
        <v>37</v>
      </c>
      <c r="E17" t="s">
        <v>954</v>
      </c>
      <c r="F17" s="474"/>
      <c r="G17" s="450"/>
    </row>
    <row r="18" spans="2:7" x14ac:dyDescent="0.2">
      <c r="B18" s="470" t="s">
        <v>36</v>
      </c>
      <c r="C18" s="506">
        <v>86077.709999999992</v>
      </c>
      <c r="D18" s="506">
        <v>94959.77</v>
      </c>
      <c r="E18" s="506">
        <v>181037.47999999998</v>
      </c>
    </row>
    <row r="19" spans="2:7" x14ac:dyDescent="0.2">
      <c r="B19" s="470" t="s">
        <v>52</v>
      </c>
      <c r="C19" s="506"/>
      <c r="D19" s="506">
        <v>109988.48</v>
      </c>
      <c r="E19" s="506">
        <v>109988.48</v>
      </c>
    </row>
    <row r="20" spans="2:7" x14ac:dyDescent="0.2">
      <c r="B20" s="470" t="s">
        <v>44</v>
      </c>
      <c r="C20" s="506">
        <v>142747.95000000001</v>
      </c>
      <c r="D20" s="506"/>
      <c r="E20" s="506">
        <v>142747.95000000001</v>
      </c>
    </row>
    <row r="21" spans="2:7" x14ac:dyDescent="0.2">
      <c r="B21" s="470" t="s">
        <v>988</v>
      </c>
      <c r="C21" s="506">
        <v>195231.56</v>
      </c>
      <c r="D21" s="506"/>
      <c r="E21" s="506">
        <v>195231.56</v>
      </c>
      <c r="G21" s="450"/>
    </row>
    <row r="22" spans="2:7" x14ac:dyDescent="0.2">
      <c r="B22" s="470" t="s">
        <v>26</v>
      </c>
      <c r="C22" s="506">
        <v>169035</v>
      </c>
      <c r="D22" s="506">
        <v>411325.56</v>
      </c>
      <c r="E22" s="506">
        <v>580360.56000000006</v>
      </c>
      <c r="G22" s="450"/>
    </row>
    <row r="23" spans="2:7" x14ac:dyDescent="0.2">
      <c r="B23" s="470" t="s">
        <v>61</v>
      </c>
      <c r="C23" s="506">
        <v>38658</v>
      </c>
      <c r="D23" s="506"/>
      <c r="E23" s="506">
        <v>38658</v>
      </c>
      <c r="G23" s="450"/>
    </row>
    <row r="24" spans="2:7" x14ac:dyDescent="0.2">
      <c r="B24" s="470" t="s">
        <v>152</v>
      </c>
      <c r="C24" s="506">
        <v>616000</v>
      </c>
      <c r="D24" s="506"/>
      <c r="E24" s="506">
        <v>616000</v>
      </c>
    </row>
    <row r="25" spans="2:7" x14ac:dyDescent="0.2">
      <c r="B25" s="470" t="s">
        <v>957</v>
      </c>
      <c r="C25" s="506"/>
      <c r="D25" s="506">
        <v>3231.51</v>
      </c>
      <c r="E25" s="506">
        <v>3231.51</v>
      </c>
    </row>
    <row r="26" spans="2:7" x14ac:dyDescent="0.2">
      <c r="B26" s="470" t="s">
        <v>153</v>
      </c>
      <c r="C26" s="506">
        <v>56000.979999999996</v>
      </c>
      <c r="D26" s="506"/>
      <c r="E26" s="506">
        <v>56000.979999999996</v>
      </c>
    </row>
    <row r="27" spans="2:7" x14ac:dyDescent="0.2">
      <c r="B27" s="470" t="s">
        <v>51</v>
      </c>
      <c r="C27" s="506">
        <v>82448.460000000006</v>
      </c>
      <c r="D27" s="506">
        <v>45000</v>
      </c>
      <c r="E27" s="506">
        <v>127448.46</v>
      </c>
    </row>
    <row r="28" spans="2:7" x14ac:dyDescent="0.2">
      <c r="B28" s="470" t="s">
        <v>40</v>
      </c>
      <c r="C28" s="506">
        <v>13274.02</v>
      </c>
      <c r="D28" s="506"/>
      <c r="E28" s="506">
        <v>13274.02</v>
      </c>
    </row>
    <row r="29" spans="2:7" x14ac:dyDescent="0.2">
      <c r="B29" s="470" t="s">
        <v>954</v>
      </c>
      <c r="C29" s="506">
        <v>1399473.68</v>
      </c>
      <c r="D29" s="506">
        <v>664505.32000000007</v>
      </c>
      <c r="E29" s="506">
        <v>2063979</v>
      </c>
    </row>
    <row r="30" spans="2:7" x14ac:dyDescent="0.2">
      <c r="B30"/>
      <c r="C30"/>
      <c r="D30"/>
      <c r="E30"/>
    </row>
    <row r="31" spans="2:7" x14ac:dyDescent="0.2">
      <c r="B31"/>
      <c r="C31"/>
      <c r="D31"/>
      <c r="E31"/>
    </row>
    <row r="32" spans="2:7" x14ac:dyDescent="0.2">
      <c r="B32"/>
      <c r="C32"/>
      <c r="D32"/>
      <c r="E32"/>
    </row>
    <row r="33" spans="2:16" x14ac:dyDescent="0.2">
      <c r="B33"/>
      <c r="C33"/>
      <c r="D33"/>
      <c r="E33"/>
    </row>
    <row r="34" spans="2:16" x14ac:dyDescent="0.2">
      <c r="B34"/>
      <c r="C34"/>
      <c r="D34"/>
      <c r="E34"/>
    </row>
    <row r="35" spans="2:16" x14ac:dyDescent="0.2">
      <c r="B35"/>
      <c r="C35"/>
      <c r="D35"/>
      <c r="E35"/>
    </row>
    <row r="38" spans="2:16" x14ac:dyDescent="0.2">
      <c r="G38"/>
      <c r="H38"/>
      <c r="I38" s="617" t="s">
        <v>632</v>
      </c>
      <c r="J38" s="617" t="s">
        <v>1048</v>
      </c>
      <c r="K38" s="617" t="s">
        <v>1046</v>
      </c>
      <c r="L38" s="616" t="s">
        <v>1047</v>
      </c>
      <c r="M38" s="616"/>
      <c r="N38" s="616"/>
      <c r="O38" s="616"/>
    </row>
    <row r="39" spans="2:16" x14ac:dyDescent="0.2">
      <c r="G39"/>
      <c r="H39"/>
      <c r="I39" s="618"/>
      <c r="J39" s="618"/>
      <c r="K39" s="618"/>
      <c r="L39" s="559" t="s">
        <v>133</v>
      </c>
      <c r="M39" s="559" t="s">
        <v>134</v>
      </c>
      <c r="N39" s="559" t="s">
        <v>137</v>
      </c>
      <c r="O39" s="559" t="s">
        <v>954</v>
      </c>
    </row>
    <row r="40" spans="2:16" x14ac:dyDescent="0.2">
      <c r="G40"/>
      <c r="H40"/>
      <c r="I40" s="619" t="s">
        <v>36</v>
      </c>
      <c r="J40" s="560">
        <v>141780</v>
      </c>
      <c r="K40" s="561" t="s">
        <v>1042</v>
      </c>
      <c r="L40" s="561"/>
      <c r="M40" s="577">
        <v>24865.759999999998</v>
      </c>
      <c r="N40" s="561"/>
      <c r="O40" s="622">
        <f>SUM(M40:N42)</f>
        <v>89155.03</v>
      </c>
    </row>
    <row r="41" spans="2:16" x14ac:dyDescent="0.2">
      <c r="G41"/>
      <c r="H41"/>
      <c r="I41" s="620"/>
      <c r="J41" s="562">
        <v>139552</v>
      </c>
      <c r="K41" s="563" t="s">
        <v>1045</v>
      </c>
      <c r="L41" s="563"/>
      <c r="M41" s="563"/>
      <c r="N41" s="574">
        <v>27856.240000000002</v>
      </c>
      <c r="O41" s="623"/>
      <c r="P41" s="1" t="s">
        <v>1054</v>
      </c>
    </row>
    <row r="42" spans="2:16" x14ac:dyDescent="0.2">
      <c r="G42"/>
      <c r="H42"/>
      <c r="I42" s="621"/>
      <c r="J42" s="564" t="s">
        <v>753</v>
      </c>
      <c r="K42" s="565" t="s">
        <v>1041</v>
      </c>
      <c r="L42" s="565"/>
      <c r="M42" s="578">
        <v>25359.39</v>
      </c>
      <c r="N42" s="576">
        <v>11073.64</v>
      </c>
      <c r="O42" s="624"/>
    </row>
    <row r="43" spans="2:16" x14ac:dyDescent="0.2">
      <c r="G43"/>
      <c r="H43"/>
      <c r="I43" s="619" t="s">
        <v>52</v>
      </c>
      <c r="J43" s="560">
        <v>142379</v>
      </c>
      <c r="K43" s="561" t="s">
        <v>931</v>
      </c>
      <c r="L43" s="561"/>
      <c r="M43" s="561"/>
      <c r="N43" s="575">
        <v>107225.58</v>
      </c>
      <c r="O43" s="622">
        <f>SUM(N43:N44)</f>
        <v>109988.48</v>
      </c>
    </row>
    <row r="44" spans="2:16" x14ac:dyDescent="0.2">
      <c r="G44"/>
      <c r="H44"/>
      <c r="I44" s="621"/>
      <c r="J44" s="564">
        <v>142461</v>
      </c>
      <c r="K44" s="565" t="s">
        <v>994</v>
      </c>
      <c r="L44" s="565"/>
      <c r="M44" s="565"/>
      <c r="N44" s="576">
        <v>2762.9</v>
      </c>
      <c r="O44" s="624"/>
    </row>
    <row r="45" spans="2:16" x14ac:dyDescent="0.2">
      <c r="G45"/>
      <c r="H45"/>
      <c r="I45" s="619" t="s">
        <v>44</v>
      </c>
      <c r="J45" s="560">
        <v>143247</v>
      </c>
      <c r="K45" s="561" t="s">
        <v>923</v>
      </c>
      <c r="L45" s="561"/>
      <c r="M45" s="577">
        <v>37889.339999999997</v>
      </c>
      <c r="N45" s="561"/>
      <c r="O45" s="622">
        <f>SUM(L45:N47)</f>
        <v>142747.95000000001</v>
      </c>
    </row>
    <row r="46" spans="2:16" x14ac:dyDescent="0.2">
      <c r="G46"/>
      <c r="H46"/>
      <c r="I46" s="620"/>
      <c r="J46" s="562">
        <v>143247</v>
      </c>
      <c r="K46" s="563" t="s">
        <v>927</v>
      </c>
      <c r="L46" s="563"/>
      <c r="M46" s="579">
        <v>30658.99</v>
      </c>
      <c r="N46" s="563"/>
      <c r="O46" s="623"/>
    </row>
    <row r="47" spans="2:16" x14ac:dyDescent="0.2">
      <c r="G47"/>
      <c r="H47"/>
      <c r="I47" s="621"/>
      <c r="J47" s="564">
        <v>143247</v>
      </c>
      <c r="K47" s="565" t="s">
        <v>997</v>
      </c>
      <c r="L47" s="565"/>
      <c r="M47" s="578">
        <v>74199.62</v>
      </c>
      <c r="N47" s="565"/>
      <c r="O47" s="624"/>
    </row>
    <row r="48" spans="2:16" x14ac:dyDescent="0.2">
      <c r="G48"/>
      <c r="H48"/>
      <c r="I48" s="619" t="s">
        <v>988</v>
      </c>
      <c r="J48" s="560">
        <v>143247</v>
      </c>
      <c r="K48" s="561" t="s">
        <v>923</v>
      </c>
      <c r="L48" s="577">
        <v>73276.61</v>
      </c>
      <c r="M48" s="561"/>
      <c r="N48" s="561"/>
      <c r="O48" s="622">
        <f>SUM(L48:N51)</f>
        <v>190410.51</v>
      </c>
    </row>
    <row r="49" spans="2:15" x14ac:dyDescent="0.2">
      <c r="G49"/>
      <c r="H49"/>
      <c r="I49" s="620"/>
      <c r="J49" s="562">
        <v>143247</v>
      </c>
      <c r="K49" s="563" t="s">
        <v>878</v>
      </c>
      <c r="L49" s="563"/>
      <c r="M49" s="579">
        <v>9311.09</v>
      </c>
      <c r="N49" s="563"/>
      <c r="O49" s="623"/>
    </row>
    <row r="50" spans="2:15" x14ac:dyDescent="0.2">
      <c r="G50"/>
      <c r="H50"/>
      <c r="I50" s="620"/>
      <c r="J50" s="562">
        <v>143247</v>
      </c>
      <c r="K50" s="563" t="s">
        <v>927</v>
      </c>
      <c r="L50" s="563"/>
      <c r="M50" s="579">
        <v>12831.19</v>
      </c>
      <c r="N50" s="563"/>
      <c r="O50" s="623"/>
    </row>
    <row r="51" spans="2:15" x14ac:dyDescent="0.2">
      <c r="G51"/>
      <c r="H51"/>
      <c r="I51" s="621"/>
      <c r="J51" s="564">
        <v>143247</v>
      </c>
      <c r="K51" s="565" t="s">
        <v>997</v>
      </c>
      <c r="L51" s="578">
        <v>94991.62</v>
      </c>
      <c r="M51" s="565"/>
      <c r="N51" s="565"/>
      <c r="O51" s="624"/>
    </row>
    <row r="52" spans="2:15" x14ac:dyDescent="0.2">
      <c r="G52"/>
      <c r="H52"/>
      <c r="I52" s="619" t="s">
        <v>26</v>
      </c>
      <c r="J52" s="560">
        <v>143509</v>
      </c>
      <c r="K52" s="561" t="s">
        <v>929</v>
      </c>
      <c r="L52" s="561"/>
      <c r="M52" s="580">
        <v>19280.95</v>
      </c>
      <c r="N52" s="561"/>
      <c r="O52" s="622">
        <f>SUM(L52:N55)</f>
        <v>563185.79</v>
      </c>
    </row>
    <row r="53" spans="2:15" x14ac:dyDescent="0.2">
      <c r="G53"/>
      <c r="H53"/>
      <c r="I53" s="620"/>
      <c r="J53" s="562">
        <v>142669</v>
      </c>
      <c r="K53" s="563" t="s">
        <v>914</v>
      </c>
      <c r="L53" s="563"/>
      <c r="M53" s="563"/>
      <c r="N53" s="574">
        <v>6014.36</v>
      </c>
      <c r="O53" s="623"/>
    </row>
    <row r="54" spans="2:15" x14ac:dyDescent="0.2">
      <c r="G54"/>
      <c r="H54"/>
      <c r="I54" s="620"/>
      <c r="J54" s="562">
        <v>138512</v>
      </c>
      <c r="K54" s="563" t="s">
        <v>1043</v>
      </c>
      <c r="L54" s="563"/>
      <c r="M54" s="579">
        <v>151860.23000000001</v>
      </c>
      <c r="N54" s="563"/>
      <c r="O54" s="623"/>
    </row>
    <row r="55" spans="2:15" x14ac:dyDescent="0.2">
      <c r="G55"/>
      <c r="H55"/>
      <c r="I55" s="621"/>
      <c r="J55" s="564">
        <v>138512</v>
      </c>
      <c r="K55" s="565" t="s">
        <v>1044</v>
      </c>
      <c r="L55" s="565"/>
      <c r="M55" s="565"/>
      <c r="N55" s="576">
        <v>386030.25</v>
      </c>
      <c r="O55" s="624"/>
    </row>
    <row r="56" spans="2:15" x14ac:dyDescent="0.2">
      <c r="G56"/>
      <c r="H56"/>
      <c r="I56" s="566" t="s">
        <v>957</v>
      </c>
      <c r="J56" s="567" t="s">
        <v>753</v>
      </c>
      <c r="K56" s="568" t="s">
        <v>958</v>
      </c>
      <c r="L56" s="568"/>
      <c r="M56" s="581">
        <v>3231.51</v>
      </c>
      <c r="N56" s="568"/>
      <c r="O56" s="571">
        <v>3231.51</v>
      </c>
    </row>
    <row r="57" spans="2:15" x14ac:dyDescent="0.2">
      <c r="G57"/>
      <c r="H57"/>
      <c r="I57" s="627" t="s">
        <v>153</v>
      </c>
      <c r="J57" s="560">
        <v>143247</v>
      </c>
      <c r="K57" s="561" t="s">
        <v>923</v>
      </c>
      <c r="L57" s="561"/>
      <c r="M57" s="577">
        <v>7095.44</v>
      </c>
      <c r="N57" s="561"/>
      <c r="O57" s="622">
        <f>SUM(L57:N58)</f>
        <v>16327.71</v>
      </c>
    </row>
    <row r="58" spans="2:15" x14ac:dyDescent="0.2">
      <c r="G58"/>
      <c r="H58"/>
      <c r="I58" s="628"/>
      <c r="J58" s="564">
        <v>143247</v>
      </c>
      <c r="K58" s="565" t="s">
        <v>997</v>
      </c>
      <c r="L58" s="565"/>
      <c r="M58" s="578">
        <v>9232.27</v>
      </c>
      <c r="N58" s="565"/>
      <c r="O58" s="624"/>
    </row>
    <row r="59" spans="2:15" x14ac:dyDescent="0.2">
      <c r="G59"/>
      <c r="H59"/>
      <c r="I59" s="619" t="s">
        <v>51</v>
      </c>
      <c r="J59" s="560">
        <v>143247</v>
      </c>
      <c r="K59" s="561" t="s">
        <v>923</v>
      </c>
      <c r="L59" s="577">
        <v>82448.460000000006</v>
      </c>
      <c r="M59" s="561"/>
      <c r="N59" s="561"/>
      <c r="O59" s="622">
        <f>SUM(L59:N60)</f>
        <v>127448.46</v>
      </c>
    </row>
    <row r="60" spans="2:15" x14ac:dyDescent="0.2">
      <c r="G60"/>
      <c r="H60"/>
      <c r="I60" s="621"/>
      <c r="J60" s="564" t="s">
        <v>753</v>
      </c>
      <c r="K60" s="565" t="s">
        <v>1055</v>
      </c>
      <c r="L60" s="565"/>
      <c r="M60" s="576">
        <v>45000</v>
      </c>
      <c r="N60" s="565"/>
      <c r="O60" s="624"/>
    </row>
    <row r="61" spans="2:15" x14ac:dyDescent="0.2">
      <c r="G61"/>
      <c r="H61"/>
      <c r="I61" s="625" t="s">
        <v>73</v>
      </c>
      <c r="J61" s="626"/>
      <c r="K61" s="626"/>
      <c r="L61" s="569">
        <f>SUM(L40:L60)</f>
        <v>250716.69</v>
      </c>
      <c r="M61" s="569">
        <f>SUM(M40:M60)</f>
        <v>450815.78</v>
      </c>
      <c r="N61" s="569">
        <v>540962.97</v>
      </c>
      <c r="O61" s="570">
        <v>1287495.4399999997</v>
      </c>
    </row>
    <row r="62" spans="2:15" x14ac:dyDescent="0.2"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2:15" x14ac:dyDescent="0.2"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2:15" x14ac:dyDescent="0.2"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2:15" x14ac:dyDescent="0.2"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2:15" x14ac:dyDescent="0.2">
      <c r="B66" s="469" t="s">
        <v>15</v>
      </c>
      <c r="C66" t="s">
        <v>37</v>
      </c>
      <c r="D66"/>
      <c r="E66"/>
      <c r="G66"/>
      <c r="H66"/>
      <c r="I66"/>
      <c r="J66"/>
      <c r="K66"/>
      <c r="L66"/>
      <c r="M66"/>
      <c r="N66"/>
      <c r="O66"/>
    </row>
    <row r="67" spans="2:15" x14ac:dyDescent="0.2">
      <c r="B67"/>
      <c r="C67"/>
      <c r="D67"/>
      <c r="E67"/>
      <c r="G67"/>
      <c r="H67"/>
      <c r="I67"/>
      <c r="J67"/>
      <c r="K67"/>
      <c r="L67"/>
      <c r="M67"/>
      <c r="N67"/>
      <c r="O67"/>
    </row>
    <row r="68" spans="2:15" x14ac:dyDescent="0.2">
      <c r="B68" s="469" t="s">
        <v>956</v>
      </c>
      <c r="C68" s="469" t="s">
        <v>955</v>
      </c>
      <c r="D68"/>
      <c r="E68"/>
      <c r="F68"/>
      <c r="G68"/>
      <c r="H68"/>
      <c r="I68"/>
      <c r="J68"/>
      <c r="K68"/>
      <c r="L68"/>
      <c r="M68"/>
      <c r="N68"/>
      <c r="O68"/>
    </row>
    <row r="69" spans="2:15" x14ac:dyDescent="0.2">
      <c r="B69" s="469" t="s">
        <v>953</v>
      </c>
      <c r="C69" t="s">
        <v>134</v>
      </c>
      <c r="D69" t="s">
        <v>137</v>
      </c>
      <c r="E69" t="s">
        <v>954</v>
      </c>
      <c r="F69"/>
    </row>
    <row r="70" spans="2:15" x14ac:dyDescent="0.2">
      <c r="B70" s="470" t="s">
        <v>36</v>
      </c>
      <c r="C70" s="506"/>
      <c r="D70" s="506">
        <v>94959.77</v>
      </c>
      <c r="E70" s="506">
        <v>94959.77</v>
      </c>
      <c r="F70"/>
    </row>
    <row r="71" spans="2:15" x14ac:dyDescent="0.2">
      <c r="B71" s="558" t="s">
        <v>944</v>
      </c>
      <c r="C71" s="506"/>
      <c r="D71" s="573">
        <v>27856.240000000002</v>
      </c>
      <c r="E71" s="506">
        <v>27856.240000000002</v>
      </c>
      <c r="F71"/>
    </row>
    <row r="72" spans="2:15" x14ac:dyDescent="0.2">
      <c r="B72" s="558" t="s">
        <v>753</v>
      </c>
      <c r="C72" s="572"/>
      <c r="D72" s="506">
        <v>67103.53</v>
      </c>
      <c r="E72" s="506">
        <v>67103.53</v>
      </c>
      <c r="F72"/>
    </row>
    <row r="73" spans="2:15" x14ac:dyDescent="0.2">
      <c r="B73" s="470" t="s">
        <v>52</v>
      </c>
      <c r="C73" s="506"/>
      <c r="D73" s="506">
        <v>109988.48</v>
      </c>
      <c r="E73" s="506">
        <v>109988.48</v>
      </c>
      <c r="F73"/>
    </row>
    <row r="74" spans="2:15" x14ac:dyDescent="0.2">
      <c r="B74" s="558">
        <v>142379</v>
      </c>
      <c r="C74" s="506"/>
      <c r="D74" s="573">
        <v>107225.58</v>
      </c>
      <c r="E74" s="506">
        <v>107225.58</v>
      </c>
      <c r="F74"/>
    </row>
    <row r="75" spans="2:15" x14ac:dyDescent="0.2">
      <c r="B75" s="558">
        <v>142461</v>
      </c>
      <c r="C75" s="506"/>
      <c r="D75" s="573">
        <v>2762.9</v>
      </c>
      <c r="E75" s="506">
        <v>2762.9</v>
      </c>
      <c r="F75"/>
    </row>
    <row r="76" spans="2:15" x14ac:dyDescent="0.2">
      <c r="B76" s="470" t="s">
        <v>26</v>
      </c>
      <c r="C76" s="506">
        <v>19280.95</v>
      </c>
      <c r="D76" s="506">
        <v>392044.61</v>
      </c>
      <c r="E76" s="506">
        <v>411325.56</v>
      </c>
      <c r="F76"/>
    </row>
    <row r="77" spans="2:15" x14ac:dyDescent="0.2">
      <c r="B77" s="558">
        <v>142669</v>
      </c>
      <c r="C77" s="506"/>
      <c r="D77" s="506">
        <v>6014.36</v>
      </c>
      <c r="E77" s="506">
        <v>6014.36</v>
      </c>
      <c r="F77"/>
    </row>
    <row r="78" spans="2:15" x14ac:dyDescent="0.2">
      <c r="B78" s="558" t="s">
        <v>881</v>
      </c>
      <c r="C78" s="506"/>
      <c r="D78" s="506">
        <v>386030.25</v>
      </c>
      <c r="E78" s="506">
        <v>386030.25</v>
      </c>
      <c r="F78"/>
    </row>
    <row r="79" spans="2:15" x14ac:dyDescent="0.2">
      <c r="B79" s="558">
        <v>143509</v>
      </c>
      <c r="C79" s="506">
        <v>19280.95</v>
      </c>
      <c r="D79" s="506"/>
      <c r="E79" s="506">
        <v>19280.95</v>
      </c>
      <c r="F79"/>
    </row>
    <row r="80" spans="2:15" x14ac:dyDescent="0.2">
      <c r="B80" s="470" t="s">
        <v>957</v>
      </c>
      <c r="C80" s="506">
        <v>3231.51</v>
      </c>
      <c r="D80" s="506"/>
      <c r="E80" s="506">
        <v>3231.51</v>
      </c>
      <c r="F80"/>
    </row>
    <row r="81" spans="2:6" x14ac:dyDescent="0.2">
      <c r="B81" s="558" t="s">
        <v>753</v>
      </c>
      <c r="C81" s="506">
        <v>3231.51</v>
      </c>
      <c r="D81" s="506"/>
      <c r="E81" s="506">
        <v>3231.51</v>
      </c>
      <c r="F81"/>
    </row>
    <row r="82" spans="2:6" x14ac:dyDescent="0.2">
      <c r="B82" s="470" t="s">
        <v>51</v>
      </c>
      <c r="C82" s="506">
        <v>45000</v>
      </c>
      <c r="D82" s="506"/>
      <c r="E82" s="506">
        <v>45000</v>
      </c>
      <c r="F82"/>
    </row>
    <row r="83" spans="2:6" x14ac:dyDescent="0.2">
      <c r="B83" s="558" t="s">
        <v>753</v>
      </c>
      <c r="C83" s="506">
        <v>45000</v>
      </c>
      <c r="D83" s="506"/>
      <c r="E83" s="506">
        <v>45000</v>
      </c>
      <c r="F83"/>
    </row>
    <row r="84" spans="2:6" x14ac:dyDescent="0.2">
      <c r="B84" s="470" t="s">
        <v>954</v>
      </c>
      <c r="C84" s="506">
        <v>67512.459999999992</v>
      </c>
      <c r="D84" s="506">
        <v>596992.86</v>
      </c>
      <c r="E84" s="506">
        <v>664505.31999999995</v>
      </c>
      <c r="F84"/>
    </row>
    <row r="85" spans="2:6" x14ac:dyDescent="0.2">
      <c r="B85"/>
      <c r="C85"/>
      <c r="D85"/>
      <c r="E85"/>
      <c r="F85"/>
    </row>
    <row r="86" spans="2:6" x14ac:dyDescent="0.2">
      <c r="B86"/>
      <c r="C86"/>
      <c r="D86"/>
      <c r="E86"/>
      <c r="F86"/>
    </row>
    <row r="87" spans="2:6" x14ac:dyDescent="0.2">
      <c r="B87"/>
      <c r="C87"/>
      <c r="D87"/>
      <c r="E87"/>
      <c r="F87"/>
    </row>
    <row r="88" spans="2:6" x14ac:dyDescent="0.2">
      <c r="B88"/>
      <c r="C88"/>
      <c r="D88"/>
      <c r="E88"/>
      <c r="F88"/>
    </row>
    <row r="89" spans="2:6" x14ac:dyDescent="0.2">
      <c r="B89"/>
      <c r="C89"/>
      <c r="D89"/>
      <c r="E89"/>
      <c r="F89"/>
    </row>
    <row r="90" spans="2:6" x14ac:dyDescent="0.2">
      <c r="B90"/>
      <c r="C90"/>
      <c r="D90"/>
      <c r="E90"/>
      <c r="F90"/>
    </row>
    <row r="91" spans="2:6" x14ac:dyDescent="0.2">
      <c r="B91"/>
      <c r="C91"/>
      <c r="D91"/>
      <c r="E91"/>
      <c r="F91"/>
    </row>
    <row r="92" spans="2:6" x14ac:dyDescent="0.2">
      <c r="B92"/>
      <c r="C92"/>
      <c r="D92"/>
      <c r="E92"/>
      <c r="F92"/>
    </row>
    <row r="93" spans="2:6" x14ac:dyDescent="0.2">
      <c r="B93"/>
      <c r="C93"/>
      <c r="D93"/>
      <c r="E93"/>
      <c r="F93"/>
    </row>
    <row r="94" spans="2:6" x14ac:dyDescent="0.2">
      <c r="B94"/>
      <c r="C94"/>
      <c r="D94"/>
      <c r="E94"/>
      <c r="F94"/>
    </row>
    <row r="95" spans="2:6" x14ac:dyDescent="0.2">
      <c r="B95"/>
      <c r="C95"/>
      <c r="D95"/>
      <c r="E95"/>
      <c r="F95"/>
    </row>
    <row r="96" spans="2:6" x14ac:dyDescent="0.2">
      <c r="B96"/>
      <c r="C96"/>
      <c r="D96"/>
      <c r="E96"/>
      <c r="F96"/>
    </row>
    <row r="97" spans="2:6" x14ac:dyDescent="0.2">
      <c r="B97"/>
      <c r="C97"/>
      <c r="D97"/>
      <c r="E97"/>
      <c r="F97"/>
    </row>
    <row r="98" spans="2:6" x14ac:dyDescent="0.2">
      <c r="B98"/>
      <c r="C98"/>
      <c r="D98"/>
      <c r="E98"/>
      <c r="F98"/>
    </row>
    <row r="99" spans="2:6" x14ac:dyDescent="0.2">
      <c r="B99"/>
      <c r="C99"/>
      <c r="D99"/>
      <c r="E99"/>
      <c r="F99"/>
    </row>
  </sheetData>
  <mergeCells count="19">
    <mergeCell ref="I61:K61"/>
    <mergeCell ref="O40:O42"/>
    <mergeCell ref="I40:I42"/>
    <mergeCell ref="O43:O44"/>
    <mergeCell ref="I43:I44"/>
    <mergeCell ref="I45:I47"/>
    <mergeCell ref="O45:O47"/>
    <mergeCell ref="I48:I51"/>
    <mergeCell ref="O48:O51"/>
    <mergeCell ref="I57:I58"/>
    <mergeCell ref="O57:O58"/>
    <mergeCell ref="I59:I60"/>
    <mergeCell ref="O59:O60"/>
    <mergeCell ref="L38:O38"/>
    <mergeCell ref="I38:I39"/>
    <mergeCell ref="J38:J39"/>
    <mergeCell ref="K38:K39"/>
    <mergeCell ref="I52:I55"/>
    <mergeCell ref="O52:O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59E8-4966-4E2A-87AF-9D1A86699D00}">
  <dimension ref="B2:F23"/>
  <sheetViews>
    <sheetView workbookViewId="0">
      <selection activeCell="D13" sqref="D13"/>
    </sheetView>
  </sheetViews>
  <sheetFormatPr baseColWidth="10" defaultColWidth="8.83203125" defaultRowHeight="15" x14ac:dyDescent="0.2"/>
  <cols>
    <col min="2" max="2" width="11.1640625" bestFit="1" customWidth="1"/>
    <col min="3" max="3" width="18.83203125" bestFit="1" customWidth="1"/>
    <col min="4" max="4" width="38.83203125" customWidth="1"/>
    <col min="6" max="6" width="11.5" bestFit="1" customWidth="1"/>
  </cols>
  <sheetData>
    <row r="2" spans="2:6" ht="30" x14ac:dyDescent="0.2">
      <c r="B2" s="547" t="s">
        <v>628</v>
      </c>
      <c r="C2" s="547" t="s">
        <v>631</v>
      </c>
      <c r="D2" s="547" t="s">
        <v>2</v>
      </c>
      <c r="E2" s="547" t="s">
        <v>630</v>
      </c>
      <c r="F2" s="547" t="s">
        <v>20</v>
      </c>
    </row>
    <row r="3" spans="2:6" x14ac:dyDescent="0.2">
      <c r="B3" s="542">
        <v>143247</v>
      </c>
      <c r="C3" s="543" t="s">
        <v>51</v>
      </c>
      <c r="D3" s="544" t="s">
        <v>923</v>
      </c>
      <c r="E3" s="545" t="s">
        <v>133</v>
      </c>
      <c r="F3" s="546">
        <v>82448.460000000006</v>
      </c>
    </row>
    <row r="4" spans="2:6" x14ac:dyDescent="0.2">
      <c r="B4" s="537">
        <v>143247</v>
      </c>
      <c r="C4" s="538" t="s">
        <v>988</v>
      </c>
      <c r="D4" s="539" t="s">
        <v>923</v>
      </c>
      <c r="E4" s="540" t="s">
        <v>133</v>
      </c>
      <c r="F4" s="541">
        <v>73276.61</v>
      </c>
    </row>
    <row r="5" spans="2:6" x14ac:dyDescent="0.2">
      <c r="B5" s="532">
        <v>143247</v>
      </c>
      <c r="C5" s="533" t="s">
        <v>988</v>
      </c>
      <c r="D5" s="534" t="s">
        <v>997</v>
      </c>
      <c r="E5" s="535" t="s">
        <v>133</v>
      </c>
      <c r="F5" s="536">
        <v>131814.42000000001</v>
      </c>
    </row>
    <row r="6" spans="2:6" x14ac:dyDescent="0.2">
      <c r="B6" s="537">
        <v>143247</v>
      </c>
      <c r="C6" s="538" t="s">
        <v>44</v>
      </c>
      <c r="D6" s="539" t="s">
        <v>923</v>
      </c>
      <c r="E6" s="540" t="s">
        <v>134</v>
      </c>
      <c r="F6" s="541">
        <v>26602.85</v>
      </c>
    </row>
    <row r="7" spans="2:6" x14ac:dyDescent="0.2">
      <c r="B7" s="532">
        <v>143247</v>
      </c>
      <c r="C7" s="533" t="s">
        <v>153</v>
      </c>
      <c r="D7" s="534" t="s">
        <v>923</v>
      </c>
      <c r="E7" s="535" t="s">
        <v>134</v>
      </c>
      <c r="F7" s="536">
        <v>7095.44</v>
      </c>
    </row>
    <row r="8" spans="2:6" x14ac:dyDescent="0.2">
      <c r="B8" s="537">
        <v>143247</v>
      </c>
      <c r="C8" s="538" t="s">
        <v>988</v>
      </c>
      <c r="D8" s="539" t="s">
        <v>878</v>
      </c>
      <c r="E8" s="540" t="s">
        <v>134</v>
      </c>
      <c r="F8" s="541">
        <v>99627.13</v>
      </c>
    </row>
    <row r="9" spans="2:6" x14ac:dyDescent="0.2">
      <c r="B9" s="532">
        <v>143247</v>
      </c>
      <c r="C9" s="533" t="s">
        <v>988</v>
      </c>
      <c r="D9" s="534" t="s">
        <v>927</v>
      </c>
      <c r="E9" s="535" t="s">
        <v>134</v>
      </c>
      <c r="F9" s="536">
        <v>38684.449999999997</v>
      </c>
    </row>
    <row r="10" spans="2:6" x14ac:dyDescent="0.2">
      <c r="B10" s="537">
        <v>143247</v>
      </c>
      <c r="C10" s="538" t="s">
        <v>44</v>
      </c>
      <c r="D10" s="539" t="s">
        <v>927</v>
      </c>
      <c r="E10" s="540" t="s">
        <v>134</v>
      </c>
      <c r="F10" s="541">
        <v>30658.99</v>
      </c>
    </row>
    <row r="11" spans="2:6" x14ac:dyDescent="0.2">
      <c r="B11" s="532">
        <v>143247</v>
      </c>
      <c r="C11" s="533" t="s">
        <v>44</v>
      </c>
      <c r="D11" s="534" t="s">
        <v>997</v>
      </c>
      <c r="E11" s="535" t="s">
        <v>134</v>
      </c>
      <c r="F11" s="536">
        <v>74199.62</v>
      </c>
    </row>
    <row r="12" spans="2:6" x14ac:dyDescent="0.2">
      <c r="B12" s="537">
        <v>143247</v>
      </c>
      <c r="C12" s="538" t="s">
        <v>153</v>
      </c>
      <c r="D12" s="539" t="s">
        <v>997</v>
      </c>
      <c r="E12" s="540" t="s">
        <v>134</v>
      </c>
      <c r="F12" s="541">
        <v>9232.27</v>
      </c>
    </row>
    <row r="13" spans="2:6" x14ac:dyDescent="0.2">
      <c r="B13" s="532">
        <v>138512</v>
      </c>
      <c r="C13" s="533" t="s">
        <v>26</v>
      </c>
      <c r="D13" s="534" t="s">
        <v>1018</v>
      </c>
      <c r="E13" s="535" t="s">
        <v>134</v>
      </c>
      <c r="F13" s="536">
        <v>151860.23000000001</v>
      </c>
    </row>
    <row r="14" spans="2:6" x14ac:dyDescent="0.2">
      <c r="B14" s="537">
        <v>141780</v>
      </c>
      <c r="C14" s="538" t="s">
        <v>36</v>
      </c>
      <c r="D14" s="539" t="s">
        <v>1019</v>
      </c>
      <c r="E14" s="540" t="s">
        <v>134</v>
      </c>
      <c r="F14" s="541">
        <v>24865.759999999998</v>
      </c>
    </row>
    <row r="15" spans="2:6" x14ac:dyDescent="0.2">
      <c r="B15" s="532">
        <v>134509</v>
      </c>
      <c r="C15" s="533" t="s">
        <v>26</v>
      </c>
      <c r="D15" s="534" t="s">
        <v>929</v>
      </c>
      <c r="E15" s="535" t="s">
        <v>134</v>
      </c>
      <c r="F15" s="536">
        <v>19280.95</v>
      </c>
    </row>
    <row r="16" spans="2:6" x14ac:dyDescent="0.2">
      <c r="B16" s="537" t="s">
        <v>753</v>
      </c>
      <c r="C16" s="538" t="s">
        <v>957</v>
      </c>
      <c r="D16" s="539" t="s">
        <v>958</v>
      </c>
      <c r="E16" s="540" t="s">
        <v>134</v>
      </c>
      <c r="F16" s="541">
        <v>3231.51</v>
      </c>
    </row>
    <row r="17" spans="2:6" x14ac:dyDescent="0.2">
      <c r="B17" s="532" t="s">
        <v>753</v>
      </c>
      <c r="C17" s="533" t="s">
        <v>36</v>
      </c>
      <c r="D17" s="534" t="s">
        <v>963</v>
      </c>
      <c r="E17" s="535" t="s">
        <v>134</v>
      </c>
      <c r="F17" s="536">
        <v>14772.12</v>
      </c>
    </row>
    <row r="18" spans="2:6" x14ac:dyDescent="0.2">
      <c r="B18" s="537" t="s">
        <v>753</v>
      </c>
      <c r="C18" s="538" t="s">
        <v>36</v>
      </c>
      <c r="D18" s="539" t="s">
        <v>964</v>
      </c>
      <c r="E18" s="540" t="s">
        <v>134</v>
      </c>
      <c r="F18" s="541">
        <v>3283.03</v>
      </c>
    </row>
    <row r="19" spans="2:6" x14ac:dyDescent="0.2">
      <c r="B19" s="532" t="s">
        <v>753</v>
      </c>
      <c r="C19" s="533" t="s">
        <v>36</v>
      </c>
      <c r="D19" s="534" t="s">
        <v>965</v>
      </c>
      <c r="E19" s="535" t="s">
        <v>134</v>
      </c>
      <c r="F19" s="536">
        <v>3652.12</v>
      </c>
    </row>
    <row r="20" spans="2:6" x14ac:dyDescent="0.2">
      <c r="B20" s="537" t="s">
        <v>753</v>
      </c>
      <c r="C20" s="538" t="s">
        <v>36</v>
      </c>
      <c r="D20" s="539" t="s">
        <v>966</v>
      </c>
      <c r="E20" s="540" t="s">
        <v>134</v>
      </c>
      <c r="F20" s="541">
        <v>3652.12</v>
      </c>
    </row>
    <row r="21" spans="2:6" ht="16" thickBot="1" x14ac:dyDescent="0.25">
      <c r="B21" s="548" t="s">
        <v>753</v>
      </c>
      <c r="C21" s="549" t="s">
        <v>51</v>
      </c>
      <c r="D21" s="550" t="s">
        <v>1015</v>
      </c>
      <c r="E21" s="551" t="s">
        <v>134</v>
      </c>
      <c r="F21" s="552">
        <v>90000</v>
      </c>
    </row>
    <row r="22" spans="2:6" ht="17" thickTop="1" thickBot="1" x14ac:dyDescent="0.25">
      <c r="B22" s="629" t="s">
        <v>73</v>
      </c>
      <c r="C22" s="630"/>
      <c r="D22" s="630"/>
      <c r="E22" s="630"/>
      <c r="F22" s="553">
        <f>SUM(F3:F21)</f>
        <v>888238.07999999996</v>
      </c>
    </row>
    <row r="23" spans="2:6" ht="16" thickTop="1" x14ac:dyDescent="0.2"/>
  </sheetData>
  <mergeCells count="1">
    <mergeCell ref="B22:E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2996CE-9950-4793-AD02-A442515AB17A}">
          <x14:formula1>
            <xm:f>TABELLE!$J$3:$J$23</xm:f>
          </x14:formula1>
          <xm:sqref>C3:C21</xm:sqref>
        </x14:dataValidation>
        <x14:dataValidation type="list" allowBlank="1" showInputMessage="1" showErrorMessage="1" xr:uid="{14DECF9D-CE94-4D15-BD58-7B84BE68EAFF}">
          <x14:formula1>
            <xm:f>TABELLE!$C$31:$C$75</xm:f>
          </x14:formula1>
          <xm:sqref>E3:E21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05c56a-31c3-4ca7-aa0e-c109bcec898a">
      <Terms xmlns="http://schemas.microsoft.com/office/infopath/2007/PartnerControls"/>
    </lcf76f155ced4ddcb4097134ff3c332f>
    <TaxCatchAll xmlns="bde000f1-5f80-4b2f-8402-4e6656c08c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64C4372939184C9D876C04FA5415A6" ma:contentTypeVersion="11" ma:contentTypeDescription="Create a new document." ma:contentTypeScope="" ma:versionID="d00b72dbb2fc3f20d4496f4acf0079f6">
  <xsd:schema xmlns:xsd="http://www.w3.org/2001/XMLSchema" xmlns:xs="http://www.w3.org/2001/XMLSchema" xmlns:p="http://schemas.microsoft.com/office/2006/metadata/properties" xmlns:ns2="a505c56a-31c3-4ca7-aa0e-c109bcec898a" xmlns:ns3="bde000f1-5f80-4b2f-8402-4e6656c08c07" targetNamespace="http://schemas.microsoft.com/office/2006/metadata/properties" ma:root="true" ma:fieldsID="da40ce052189f03583c8fd63cfc52580" ns2:_="" ns3:_="">
    <xsd:import namespace="a505c56a-31c3-4ca7-aa0e-c109bcec898a"/>
    <xsd:import namespace="bde000f1-5f80-4b2f-8402-4e6656c08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5c56a-31c3-4ca7-aa0e-c109bcec8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000f1-5f80-4b2f-8402-4e6656c08c0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968010c-ecb3-4045-86d7-7aeeebfac100}" ma:internalName="TaxCatchAll" ma:showField="CatchAllData" ma:web="bde000f1-5f80-4b2f-8402-4e6656c08c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A47D76-78A1-4E81-A7E1-76652E946CA8}">
  <ds:schemaRefs>
    <ds:schemaRef ds:uri="http://purl.org/dc/elements/1.1/"/>
    <ds:schemaRef ds:uri="bde000f1-5f80-4b2f-8402-4e6656c08c07"/>
    <ds:schemaRef ds:uri="http://schemas.microsoft.com/office/infopath/2007/PartnerControls"/>
    <ds:schemaRef ds:uri="a505c56a-31c3-4ca7-aa0e-c109bcec898a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EA33420-6140-465A-8774-F1F97B02B2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5860B6-2D59-4AF2-9320-76DE2F4C9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05c56a-31c3-4ca7-aa0e-c109bcec898a"/>
    <ds:schemaRef ds:uri="bde000f1-5f80-4b2f-8402-4e6656c08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13</vt:i4>
      </vt:variant>
      <vt:variant>
        <vt:lpstr>Intervalli denominati</vt:lpstr>
      </vt:variant>
      <vt:variant>
        <vt:i4>6</vt:i4>
      </vt:variant>
    </vt:vector>
  </HeadingPairs>
  <TitlesOfParts>
    <vt:vector size="19" baseType="lpstr">
      <vt:lpstr>COMMESSE E FCST</vt:lpstr>
      <vt:lpstr>TEAM LAVORO</vt:lpstr>
      <vt:lpstr>SUBCO</vt:lpstr>
      <vt:lpstr>CONTRATTO</vt:lpstr>
      <vt:lpstr>Catalogo</vt:lpstr>
      <vt:lpstr>MEV</vt:lpstr>
      <vt:lpstr>ORDINI</vt:lpstr>
      <vt:lpstr>CHECK CON POSTE</vt:lpstr>
      <vt:lpstr>SLA</vt:lpstr>
      <vt:lpstr>TABELLE</vt:lpstr>
      <vt:lpstr>Release di Business</vt:lpstr>
      <vt:lpstr>Sheet1</vt:lpstr>
      <vt:lpstr>Sheet2</vt:lpstr>
      <vt:lpstr>_2026</vt:lpstr>
      <vt:lpstr>_2027</vt:lpstr>
      <vt:lpstr>_2028</vt:lpstr>
      <vt:lpstr>_2029</vt:lpstr>
      <vt:lpstr>ANNO_COMPETENZA</vt:lpstr>
      <vt:lpstr>Anno_release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Falo', Stefano</dc:creator>
  <cp:lastModifiedBy>STEFANELLI, MAURO</cp:lastModifiedBy>
  <dcterms:created xsi:type="dcterms:W3CDTF">2025-11-19T10:59:54Z</dcterms:created>
  <dcterms:modified xsi:type="dcterms:W3CDTF">2026-05-06T14:15:39Z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0x0101002B64C4372939184C9D876C04FA5415A6</vt:lpwstr>
  </property>
</Properties>
</file>